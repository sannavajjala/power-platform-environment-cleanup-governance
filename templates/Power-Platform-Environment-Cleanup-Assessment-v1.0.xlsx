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fb66aab7b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ad4f5257d8f41d0"/>
    <x:sheet xmlns:r="http://schemas.openxmlformats.org/officeDocument/2006/relationships" name="Environment Review" sheetId="2" r:id="R3bd9661b8a6c4822"/>
    <x:sheet xmlns:r="http://schemas.openxmlformats.org/officeDocument/2006/relationships" name="Executive Summary" sheetId="3" r:id="R163237e153b941de"/>
    <x:sheet xmlns:r="http://schemas.openxmlformats.org/officeDocument/2006/relationships" name="Lists" sheetId="4" r:id="R5bbf5658b1854cc2"/>
    <x:sheet xmlns:r="http://schemas.openxmlformats.org/officeDocument/2006/relationships" name="Organization Settings" sheetId="5" r:id="R112256bb87e545c3"/>
  </x:sheets>
</x:workbook>
</file>

<file path=xl/sharedStrings.xml><?xml version="1.0" encoding="utf-8"?>
<x:sst xmlns:x="http://schemas.openxmlformats.org/spreadsheetml/2006/main">
  <x:si>
    <x:t xml:space="preserve">Power Platform Environment Cleanup Assessment</x:t>
  </x:si>
  <x:si>
    <x:t xml:space="preserve">Workbook Version</x:t>
  </x:si>
  <x:si>
    <x:t xml:space="preserve">1.0.0</x:t>
  </x:si>
  <x:si>
    <x:t xml:space="preserve">Purpose</x:t>
  </x:si>
  <x:si>
    <x:t xml:space="preserve">Inventory environments, trigger governance review, document ownership, exclusions, dependencies, decisions, and cleanup evidence.</x:t>
  </x:si>
  <x:si>
    <x:t xml:space="preserve">Core Principle</x:t>
  </x:si>
  <x:si>
    <x:t xml:space="preserve">Inactivity is a trigger for governance review — not automatic proof that an environment should be deleted.</x:t>
  </x:si>
  <x:si>
    <x:t xml:space="preserve">Recommended Use</x:t>
  </x:si>
  <x:si>
    <x:t xml:space="preserve">Pilot with low-risk environments; adapt thresholds and approvals to organizational policy.</x:t>
  </x:si>
  <x:si>
    <x:t xml:space="preserve">Decision Support</x:t>
  </x:si>
  <x:si>
    <x:t xml:space="preserve">This workbook does not execute deletion or reset actions.</x:t>
  </x:si>
  <x:si>
    <x:t xml:space="preserve">License</x:t>
  </x:si>
  <x:si>
    <x:t xml:space="preserve">MIT</x:t>
  </x:si>
  <x:si>
    <x:t xml:space="preserve">Disclaimer</x:t>
  </x:si>
  <x:si>
    <x:t xml:space="preserve">Community-maintained decision support; not a Microsoft product, certification, compliance attestation, or substitute for organizational policy.</x:t>
  </x:si>
  <x:si>
    <x:t xml:space="preserve">Environment Name</x:t>
  </x:si>
  <x:si>
    <x:t xml:space="preserve">Environment ID</x:t>
  </x:si>
  <x:si>
    <x:t xml:space="preserve">Environment Type</x:t>
  </x:si>
  <x:si>
    <x:t xml:space="preserve">Region</x:t>
  </x:si>
  <x:si>
    <x:t xml:space="preserve">Created Date</x:t>
  </x:si>
  <x:si>
    <x:t xml:space="preserve">Last Activity Date</x:t>
  </x:si>
  <x:si>
    <x:t xml:space="preserve">Days Inactive</x:t>
  </x:si>
  <x:si>
    <x:t xml:space="preserve">Review Threshold (Days)</x:t>
  </x:si>
  <x:si>
    <x:t xml:space="preserve">Review Trigger</x:t>
  </x:si>
  <x:si>
    <x:t xml:space="preserve">Business Owner</x:t>
  </x:si>
  <x:si>
    <x:t xml:space="preserve">Technical Owner</x:t>
  </x:si>
  <x:si>
    <x:t xml:space="preserve">Owner Valid?</x:t>
  </x:si>
  <x:si>
    <x:t xml:space="preserve">Apps</x:t>
  </x:si>
  <x:si>
    <x:t xml:space="preserve">Flows</x:t>
  </x:si>
  <x:si>
    <x:t xml:space="preserve">Agents</x:t>
  </x:si>
  <x:si>
    <x:t xml:space="preserve">Dataverse?</x:t>
  </x:si>
  <x:si>
    <x:t xml:space="preserve">Connections / Custom Connectors</x:t>
  </x:si>
  <x:si>
    <x:t xml:space="preserve">Integration Dependency?</x:t>
  </x:si>
  <x:si>
    <x:t xml:space="preserve">Business Criticality</x:t>
  </x:si>
  <x:si>
    <x:t xml:space="preserve">Protected?</x:t>
  </x:si>
  <x:si>
    <x:t xml:space="preserve">Exclusion / Protection Reason</x:t>
  </x:si>
  <x:si>
    <x:t xml:space="preserve">Retention / Legal Hold?</x:t>
  </x:si>
  <x:si>
    <x:t xml:space="preserve">Owner Contacted Date</x:t>
  </x:si>
  <x:si>
    <x:t xml:space="preserve">Owner Response</x:t>
  </x:si>
  <x:si>
    <x:t xml:space="preserve">Exception Review Date</x:t>
  </x:si>
  <x:si>
    <x:t xml:space="preserve">Decision Status</x:t>
  </x:si>
  <x:si>
    <x:t xml:space="preserve">Decision Reason</x:t>
  </x:si>
  <x:si>
    <x:t xml:space="preserve">Approved By</x:t>
  </x:si>
  <x:si>
    <x:t xml:space="preserve">Approval Date</x:t>
  </x:si>
  <x:si>
    <x:t xml:space="preserve">Planned Cleanup Date</x:t>
  </x:si>
  <x:si>
    <x:t xml:space="preserve">Actual Cleanup Date</x:t>
  </x:si>
  <x:si>
    <x:t xml:space="preserve">Backup / Export Reference</x:t>
  </x:si>
  <x:si>
    <x:t xml:space="preserve">Change / Ticket</x:t>
  </x:si>
  <x:si>
    <x:t xml:space="preserve">Recovery Notes</x:t>
  </x:si>
  <x:si>
    <x:t xml:space="preserve">Notes</x:t>
  </x:si>
  <x:si>
    <x:t xml:space="preserve">Metric</x:t>
  </x:si>
  <x:si>
    <x:t xml:space="preserve">Value</x:t>
  </x:si>
  <x:si>
    <x:t xml:space="preserve">Environments inventoried</x:t>
  </x:si>
  <x:si>
    <x:t xml:space="preserve">Review required</x:t>
  </x:si>
  <x:si>
    <x:t xml:space="preserve">Owner response pending</x:t>
  </x:si>
  <x:si>
    <x:t xml:space="preserve">Exceptions requested</x:t>
  </x:si>
  <x:si>
    <x:t xml:space="preserve">Protected</x:t>
  </x:si>
  <x:si>
    <x:t xml:space="preserve">Eligible for cleanup</x:t>
  </x:si>
  <x:si>
    <x:t xml:space="preserve">Cleanup approved</x:t>
  </x:si>
  <x:si>
    <x:t xml:space="preserve">Closed</x:t>
  </x:si>
  <x:si>
    <x:t xml:space="preserve">Criticality</x:t>
  </x:si>
  <x:si>
    <x:t xml:space="preserve">YesNoUnknown</x:t>
  </x:si>
  <x:si>
    <x:t xml:space="preserve">ACTIVE</x:t>
  </x:si>
  <x:si>
    <x:t xml:space="preserve">Still Required</x:t>
  </x:si>
  <x:si>
    <x:t xml:space="preserve">Critical</x:t>
  </x:si>
  <x:si>
    <x:t xml:space="preserve">Yes</x:t>
  </x:si>
  <x:si>
    <x:t xml:space="preserve">Production</x:t>
  </x:si>
  <x:si>
    <x:t xml:space="preserve">REVIEW REQUIRED</x:t>
  </x:si>
  <x:si>
    <x:t xml:space="preserve">Exception Requested</x:t>
  </x:si>
  <x:si>
    <x:t xml:space="preserve">High</x:t>
  </x:si>
  <x:si>
    <x:t xml:space="preserve">No</x:t>
  </x:si>
  <x:si>
    <x:t xml:space="preserve">Sandbox</x:t>
  </x:si>
  <x:si>
    <x:t xml:space="preserve">OWNER RESPONSE PENDING</x:t>
  </x:si>
  <x:si>
    <x:t xml:space="preserve">Approve Cleanup Review</x:t>
  </x:si>
  <x:si>
    <x:t xml:space="preserve">Medium</x:t>
  </x:si>
  <x:si>
    <x:t xml:space="preserve">Unknown</x:t>
  </x:si>
  <x:si>
    <x:t xml:space="preserve">Developer</x:t>
  </x:si>
  <x:si>
    <x:t xml:space="preserve">EXCEPTION REQUESTED</x:t>
  </x:si>
  <x:si>
    <x:t xml:space="preserve">Wrong Owner</x:t>
  </x:si>
  <x:si>
    <x:t xml:space="preserve">Low</x:t>
  </x:si>
  <x:si>
    <x:t xml:space="preserve">Trial</x:t>
  </x:si>
  <x:si>
    <x:t xml:space="preserve">PROTECTED</x:t>
  </x:si>
  <x:si>
    <x:t xml:space="preserve">No Response</x:t>
  </x:si>
  <x:si>
    <x:t xml:space="preserve">Teams</x:t>
  </x:si>
  <x:si>
    <x:t xml:space="preserve">ELIGIBLE FOR CLEANUP</x:t>
  </x:si>
  <x:si>
    <x:t xml:space="preserve">Other</x:t>
  </x:si>
  <x:si>
    <x:t xml:space="preserve">CLEANUP APPROVED</x:t>
  </x:si>
  <x:si>
    <x:t xml:space="preserve">CLOSED</x:t>
  </x:si>
</x:sst>
</file>

<file path=xl/styles.xml><?xml version="1.0" encoding="utf-8"?>
<x:styleSheet xmlns:x="http://schemas.openxmlformats.org/spreadsheetml/2006/main">
  <x:numFmts count="3">
    <x:numFmt numFmtId="164" formatCode="yyyy\-mm\-dd"/>
    <x:numFmt numFmtId="200" formatCode="0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2" fillId="2" borderId="0" xfId="0" applyFont="1" applyFill="1" applyAlignment="1">
      <x:alignment wrapText="1"/>
    </x:xf>
    <x:xf numFmtId="0" fontId="3" fillId="3" borderId="0" xfId="0" applyFont="1" applyFill="1" applyAlignment="1">
      <x:alignment wrapText="1"/>
    </x:xf>
    <x:xf numFmtId="0" fontId="0" fillId="0" borderId="0" xfId="0" applyAlignment="1">
      <x:alignment wrapText="1"/>
    </x:xf>
    <x:xf numFmtId="164" fontId="0" fillId="0" borderId="0" xfId="0" applyNumberFormat="1" applyAlignment="1">
      <x:alignment wrapText="1"/>
    </x:xf>
    <x:xf numFmtId="0" fontId="1" fillId="2" borderId="0" xfId="0" applyFont="1" applyFill="1" applyAlignment="1"/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1b31b535b4212" /><Relationship Type="http://schemas.openxmlformats.org/officeDocument/2006/relationships/theme" Target="/xl/theme/theme1.xml" Id="Rfa8ee14d4832458a" /><Relationship Type="http://schemas.openxmlformats.org/officeDocument/2006/relationships/sharedStrings" Target="/xl/sharedStrings.xml" Id="Rae681780a37c40dd" /><Relationship Type="http://schemas.openxmlformats.org/officeDocument/2006/relationships/worksheet" Target="/xl/worksheets/sheet1.xml" Id="R0ad4f5257d8f41d0" /><Relationship Type="http://schemas.openxmlformats.org/officeDocument/2006/relationships/worksheet" Target="/xl/worksheets/sheet2.xml" Id="R3bd9661b8a6c4822" /><Relationship Type="http://schemas.openxmlformats.org/officeDocument/2006/relationships/worksheet" Target="/xl/worksheets/sheet3.xml" Id="R163237e153b941de" /><Relationship Type="http://schemas.openxmlformats.org/officeDocument/2006/relationships/worksheet" Target="/xl/worksheets/sheet4.xml" Id="R5bbf5658b1854cc2" /><Relationship Type="http://schemas.openxmlformats.org/officeDocument/2006/relationships/worksheet" Target="/xl/worksheets/sheet5.xml" Id="R112256bb87e545c3" /></Relationships>
</file>

<file path=xl/tables/table1.xml><?xml version="1.0" encoding="utf-8"?>
<x:table xmlns:x="http://schemas.openxmlformats.org/spreadsheetml/2006/main" id="1" name="EnvironmentReviewTable" displayName="EnvironmentReviewTable" ref="A1:AI101" totalsRowShown="0">
  <x:tableColumns count="35">
    <x:tableColumn id="1" name="Environment Name"/>
    <x:tableColumn id="2" name="Environment ID"/>
    <x:tableColumn id="3" name="Environment Type"/>
    <x:tableColumn id="4" name="Region"/>
    <x:tableColumn id="5" name="Created Date"/>
    <x:tableColumn id="6" name="Last Activity Date"/>
    <x:tableColumn id="7" name="Days Inactive"/>
    <x:tableColumn id="8" name="Review Threshold (Days)"/>
    <x:tableColumn id="9" name="Review Trigger"/>
    <x:tableColumn id="10" name="Business Owner"/>
    <x:tableColumn id="11" name="Technical Owner"/>
    <x:tableColumn id="12" name="Owner Valid?"/>
    <x:tableColumn id="13" name="Apps"/>
    <x:tableColumn id="14" name="Flows"/>
    <x:tableColumn id="15" name="Agents"/>
    <x:tableColumn id="16" name="Dataverse?"/>
    <x:tableColumn id="17" name="Connections / Custom Connectors"/>
    <x:tableColumn id="18" name="Integration Dependency?"/>
    <x:tableColumn id="19" name="Business Criticality"/>
    <x:tableColumn id="20" name="Protected?"/>
    <x:tableColumn id="21" name="Exclusion / Protection Reason"/>
    <x:tableColumn id="22" name="Retention / Legal Hold?"/>
    <x:tableColumn id="23" name="Owner Contacted Date"/>
    <x:tableColumn id="24" name="Owner Response"/>
    <x:tableColumn id="25" name="Exception Review Date"/>
    <x:tableColumn id="26" name="Decision Status"/>
    <x:tableColumn id="27" name="Decision Reason"/>
    <x:tableColumn id="28" name="Approved By"/>
    <x:tableColumn id="29" name="Approval Date"/>
    <x:tableColumn id="30" name="Planned Cleanup Date"/>
    <x:tableColumn id="31" name="Actual Cleanup Date"/>
    <x:tableColumn id="32" name="Backup / Export Reference"/>
    <x:tableColumn id="33" name="Change / Ticket"/>
    <x:tableColumn id="34" name="Recovery Notes"/>
    <x:tableColumn id="3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ae5e5d7ad2466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25" t="s">
        <x:v>0</x:v>
      </x:c>
      <x:c r="B1" s="25"/>
      <x:c r="C1" s="5"/>
      <x:c r="D1" s="5"/>
      <x:c r="E1" s="5"/>
      <x:c r="F1" s="5"/>
      <x:c r="G1" s="5"/>
      <x:c r="H1" s="5"/>
    </x:row>
    <x:row r="2">
      <x:c r="A2" s="23"/>
      <x:c r="B2" s="23"/>
    </x:row>
    <x:row r="3">
      <x:c r="A3" s="26" t="s">
        <x:v>1</x:v>
      </x:c>
      <x:c r="B3" s="23" t="s">
        <x:v>2</x:v>
      </x:c>
    </x:row>
    <x:row r="4">
      <x:c r="A4" s="26" t="s">
        <x:v>3</x:v>
      </x:c>
      <x:c r="B4" s="23" t="s">
        <x:v>4</x:v>
      </x:c>
    </x:row>
    <x:row r="5">
      <x:c r="A5" s="26" t="s">
        <x:v>5</x:v>
      </x:c>
      <x:c r="B5" s="23" t="s">
        <x:v>6</x:v>
      </x:c>
    </x:row>
    <x:row r="6">
      <x:c r="A6" s="26" t="s">
        <x:v>7</x:v>
      </x:c>
      <x:c r="B6" s="23" t="s">
        <x:v>8</x:v>
      </x:c>
    </x:row>
    <x:row r="7">
      <x:c r="A7" s="26" t="s">
        <x:v>9</x:v>
      </x:c>
      <x:c r="B7" s="23" t="s">
        <x:v>10</x:v>
      </x:c>
    </x:row>
    <x:row r="8">
      <x:c r="A8" s="26" t="s">
        <x:v>11</x:v>
      </x:c>
      <x:c r="B8" s="23" t="s">
        <x:v>12</x:v>
      </x:c>
    </x:row>
    <x:row r="9">
      <x:c r="A9" s="26" t="s">
        <x:v>13</x:v>
      </x:c>
      <x:c r="B9" s="23" t="s">
        <x:v>14</x:v>
      </x:c>
    </x:row>
    <x:row r="10">
      <x:c r="A10" s="23"/>
      <x:c r="B10" s="23"/>
    </x:row>
    <x:row r="11">
      <x:c r="A11" s="18" t="str">
        <x:v>How to Use</x:v>
      </x:c>
      <x:c r="B11" s="23" t="str">
        <x:v>1) Configure review thresholds on Organization Settings. 2) Add environments to Environment Review. 3) Review the automatic Review Trigger and Cleanup Gate. 4) Validate ownership, dependencies, protection, retention/legal hold, and business criticality. 5) Record owner response and a human-approved decision. 6) Capture backup/export, change ticket, and recovery evidence before destructive action.</x:v>
      </x:c>
    </x:row>
    <x:row r="12">
      <x:c r="A12" s="18" t="str">
        <x:v>Important</x:v>
      </x:c>
      <x:c r="B12" s="23" t="str">
        <x:v>The workbook never treats inactivity alone as authorization to delete or reset an environment.</x:v>
      </x:c>
    </x:row>
    <x:row r="13">
      <x:c r="A13" s="18" t="str">
        <x:v>Review Trigger</x:v>
      </x:c>
      <x:c r="B13" s="23" t="str">
        <x:v>ACTIVE, REVIEW REQUIRED, PROTECTED, or HOLD - DO NOT CLEAN is calculated from activity plus protection/retention safeguards.</x:v>
      </x:c>
    </x:row>
    <x:row r="14">
      <x:c r="A14" s="18" t="str">
        <x:v>Cleanup Gate</x:v>
      </x:c>
      <x:c r="B14" s="23" t="str">
        <x:v>Decision-support gate that highlights blockers and required reviews. It does not execute cleanup.</x:v>
      </x:c>
    </x:row>
    <x:row r="15">
      <x:c r="A15" s="18" t="str">
        <x:v>Production Safeguard</x:v>
      </x:c>
      <x:c r="B15" s="23" t="str">
        <x:v>Production environments always require explicit production approval before cleanup can proceed.</x:v>
      </x:c>
    </x:row>
    <x:row r="16">
      <x:c r="A16" s="18" t="str">
        <x:v>Protected Safeguard</x:v>
      </x:c>
      <x:c r="B16" s="23" t="str">
        <x:v>Protected environments are blocked from cleanup until protection is explicitly reviewed/removed under organizational policy.</x:v>
      </x:c>
    </x:row>
    <x:row r="17">
      <x:c r="A17" s="18" t="str">
        <x:v>Retention Safeguard</x:v>
      </x:c>
      <x:c r="B17" s="23" t="str">
        <x:v>Retention or legal hold blocks cleanup until the applicable requirement is cleared.</x:v>
      </x:c>
    </x:row>
    <x:row r="18">
      <x:c r="A18" s="18" t="str">
        <x:v>Thresholds</x:v>
      </x:c>
      <x:c r="B18" s="23" t="str">
        <x:v>Defaults are examples and are intentionally configurable; they are not represented as Microsoft-mandated retention or deletion periods.</x:v>
      </x:c>
    </x:row>
    <x:row r="19">
      <x:c r="A19" s="18" t="str">
        <x:v>Release</x:v>
      </x:c>
      <x:c r="B19" s="23" t="str">
        <x:v>Prepared for Power Platform Environment Cleanup Governance Toolkit v1.0.0.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customWidth="1"/>
    <x:col min="2" max="2" width="20" customWidth="1"/>
    <x:col min="3" max="9" width="16" customWidth="1"/>
    <x:col min="10" max="22" width="20" customWidth="1"/>
    <x:col min="23" max="31" width="18" customWidth="1"/>
    <x:col min="32" max="35" width="25" customWidth="1"/>
    <x:col min="36" max="36" width="28" hidden="0" customWidth="1"/>
  </x:cols>
  <x:sheetData>
    <x:row r="1">
      <x:c r="A1" s="36" t="s">
        <x:v>15</x:v>
      </x:c>
      <x:c r="B1" s="36" t="s">
        <x:v>16</x:v>
      </x:c>
      <x:c r="C1" s="36" t="s">
        <x:v>17</x:v>
      </x:c>
      <x:c r="D1" s="36" t="s">
        <x:v>18</x:v>
      </x:c>
      <x:c r="E1" s="36" t="s">
        <x:v>19</x:v>
      </x:c>
      <x:c r="F1" s="36" t="s">
        <x:v>20</x:v>
      </x:c>
      <x:c r="G1" s="36" t="s">
        <x:v>21</x:v>
      </x:c>
      <x:c r="H1" s="36" t="s">
        <x:v>22</x:v>
      </x:c>
      <x:c r="I1" s="36" t="s">
        <x:v>23</x:v>
      </x:c>
      <x:c r="J1" s="36" t="s">
        <x:v>24</x:v>
      </x:c>
      <x:c r="K1" s="36" t="s">
        <x:v>25</x:v>
      </x:c>
      <x:c r="L1" s="36" t="s">
        <x:v>26</x:v>
      </x:c>
      <x:c r="M1" s="36" t="s">
        <x:v>27</x:v>
      </x:c>
      <x:c r="N1" s="36" t="s">
        <x:v>28</x:v>
      </x:c>
      <x:c r="O1" s="36" t="s">
        <x:v>29</x:v>
      </x:c>
      <x:c r="P1" s="36" t="s">
        <x:v>30</x:v>
      </x:c>
      <x:c r="Q1" s="36" t="s">
        <x:v>31</x:v>
      </x:c>
      <x:c r="R1" s="36" t="s">
        <x:v>32</x:v>
      </x:c>
      <x:c r="S1" s="36" t="s">
        <x:v>33</x:v>
      </x:c>
      <x:c r="T1" s="36" t="s">
        <x:v>34</x:v>
      </x:c>
      <x:c r="U1" s="36" t="s">
        <x:v>35</x:v>
      </x:c>
      <x:c r="V1" s="36" t="s">
        <x:v>36</x:v>
      </x:c>
      <x:c r="W1" s="36" t="s">
        <x:v>37</x:v>
      </x:c>
      <x:c r="X1" s="36" t="s">
        <x:v>38</x:v>
      </x:c>
      <x:c r="Y1" s="36" t="s">
        <x:v>39</x:v>
      </x:c>
      <x:c r="Z1" s="36" t="s">
        <x:v>40</x:v>
      </x:c>
      <x:c r="AA1" s="36" t="s">
        <x:v>41</x:v>
      </x:c>
      <x:c r="AB1" s="36" t="s">
        <x:v>42</x:v>
      </x:c>
      <x:c r="AC1" s="36" t="s">
        <x:v>43</x:v>
      </x:c>
      <x:c r="AD1" s="36" t="s">
        <x:v>44</x:v>
      </x:c>
      <x:c r="AE1" s="36" t="s">
        <x:v>45</x:v>
      </x:c>
      <x:c r="AF1" s="36" t="s">
        <x:v>46</x:v>
      </x:c>
      <x:c r="AG1" s="36" t="s">
        <x:v>47</x:v>
      </x:c>
      <x:c r="AH1" s="36" t="s">
        <x:v>48</x:v>
      </x:c>
      <x:c r="AI1" s="36" t="s">
        <x:v>49</x:v>
      </x:c>
      <x:c r="AJ1" s="29" t="str">
        <x:v>Cleanup Gate</x:v>
      </x:c>
    </x:row>
    <x:row r="2" ht="16.5">
      <x:c r="A2" s="23"/>
      <x:c r="B2" s="23"/>
      <x:c r="C2" s="23"/>
      <x:c r="D2" s="23"/>
      <x:c r="E2" s="34"/>
      <x:c r="F2" s="34"/>
      <x:c r="G2" s="32" t="str">
        <x:f ca="1">IF(F2="","",MAX(0,TODAY()-F2))</x:f>
      </x:c>
      <x:c r="H2" s="32" t="str">
        <x:f>IF(C2="","",IFERROR(VLOOKUP(C2,'Organization Settings'!$A$4:$B$9,2,FALSE),""))</x:f>
      </x:c>
      <x:c r="I2" s="23" t="str">
        <x:f>IF(A2="","",IF(T2="Yes","PROTECTED",IF(V2="Yes","HOLD - DO NOT CLEAN",IF(OR(F2="",H2=""),"INCOMPLETE",IF(G2&gt;=H2,"REVIEW REQUIRED","ACTIVE")))))</x:f>
      </x:c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34"/>
      <x:c r="X2" s="23"/>
      <x:c r="Y2" s="34"/>
      <x:c r="Z2" s="23"/>
      <x:c r="AA2" s="23"/>
      <x:c r="AB2" s="23"/>
      <x:c r="AC2" s="34"/>
      <x:c r="AD2" s="34"/>
      <x:c r="AE2" s="34"/>
      <x:c r="AF2" s="23"/>
      <x:c r="AG2" s="23"/>
      <x:c r="AH2" s="23"/>
      <x:c r="AI2" s="23"/>
      <x:c r="AJ2" s="23" t="str">
        <x:f>IF(A2="","",IF(T2="Yes","BLOCKED - PROTECTED",IF(V2="Yes","BLOCKED - RETENTION/HOLD",IF(R2="Yes","REVIEW INTEGRATION DEPENDENCY",IF(L2&lt;&gt;"Yes","OWNER VALIDATION REQUIRED",IF(OR(S2="Critical",S2="High"),"BUSINESS RISK REVIEW REQUIRED",IF(C2="Production","PRODUCTION APPROVAL REQUIRED",IF(I2="ACTIVE","NOT ELIGIBLE - ACTIVE",IF(X2="Still Required","KEEP - OWNER CONFIRMED",IF(X2="Exception Requested","EXCEPTION PENDING","REVIEW FOR CLEANUP"))))))))))</x:f>
      </x:c>
    </x:row>
    <x:row r="3" ht="16.5">
      <x:c r="A3" s="23"/>
      <x:c r="B3" s="23"/>
      <x:c r="C3" s="23"/>
      <x:c r="D3" s="23"/>
      <x:c r="E3" s="34"/>
      <x:c r="F3" s="34"/>
      <x:c r="G3" s="32" t="str">
        <x:f ca="1">IF(F3="","",MAX(0,TODAY()-F3))</x:f>
      </x:c>
      <x:c r="H3" s="32" t="str">
        <x:f>IF(C3="","",IFERROR(VLOOKUP(C3,'Organization Settings'!$A$4:$B$9,2,FALSE),""))</x:f>
      </x:c>
      <x:c r="I3" s="23" t="str">
        <x:f>IF(A3="","",IF(T3="Yes","PROTECTED",IF(V3="Yes","HOLD - DO NOT CLEAN",IF(OR(F3="",H3=""),"INCOMPLETE",IF(G3&gt;=H3,"REVIEW REQUIRED","ACTIVE")))))</x:f>
      </x:c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34"/>
      <x:c r="X3" s="23"/>
      <x:c r="Y3" s="34"/>
      <x:c r="Z3" s="23"/>
      <x:c r="AA3" s="23"/>
      <x:c r="AB3" s="23"/>
      <x:c r="AC3" s="34"/>
      <x:c r="AD3" s="34"/>
      <x:c r="AE3" s="34"/>
      <x:c r="AF3" s="23"/>
      <x:c r="AG3" s="23"/>
      <x:c r="AH3" s="23"/>
      <x:c r="AI3" s="23"/>
      <x:c r="AJ3" s="23" t="str">
        <x:f>IF(A3="","",IF(T3="Yes","BLOCKED - PROTECTED",IF(V3="Yes","BLOCKED - RETENTION/HOLD",IF(R3="Yes","REVIEW INTEGRATION DEPENDENCY",IF(L3&lt;&gt;"Yes","OWNER VALIDATION REQUIRED",IF(OR(S3="Critical",S3="High"),"BUSINESS RISK REVIEW REQUIRED",IF(C3="Production","PRODUCTION APPROVAL REQUIRED",IF(I3="ACTIVE","NOT ELIGIBLE - ACTIVE",IF(X3="Still Required","KEEP - OWNER CONFIRMED",IF(X3="Exception Requested","EXCEPTION PENDING","REVIEW FOR CLEANUP"))))))))))</x:f>
      </x:c>
    </x:row>
    <x:row r="4" ht="16.5">
      <x:c r="A4" s="23"/>
      <x:c r="B4" s="23"/>
      <x:c r="C4" s="23"/>
      <x:c r="D4" s="23"/>
      <x:c r="E4" s="34"/>
      <x:c r="F4" s="34"/>
      <x:c r="G4" s="32" t="str">
        <x:f ca="1">IF(F4="","",MAX(0,TODAY()-F4))</x:f>
      </x:c>
      <x:c r="H4" s="32" t="str">
        <x:f>IF(C4="","",IFERROR(VLOOKUP(C4,'Organization Settings'!$A$4:$B$9,2,FALSE),""))</x:f>
      </x:c>
      <x:c r="I4" s="23" t="str">
        <x:f>IF(A4="","",IF(T4="Yes","PROTECTED",IF(V4="Yes","HOLD - DO NOT CLEAN",IF(OR(F4="",H4=""),"INCOMPLETE",IF(G4&gt;=H4,"REVIEW REQUIRED","ACTIVE")))))</x:f>
      </x:c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34"/>
      <x:c r="X4" s="23"/>
      <x:c r="Y4" s="34"/>
      <x:c r="Z4" s="23"/>
      <x:c r="AA4" s="23"/>
      <x:c r="AB4" s="23"/>
      <x:c r="AC4" s="34"/>
      <x:c r="AD4" s="34"/>
      <x:c r="AE4" s="34"/>
      <x:c r="AF4" s="23"/>
      <x:c r="AG4" s="23"/>
      <x:c r="AH4" s="23"/>
      <x:c r="AI4" s="23"/>
      <x:c r="AJ4" s="23" t="str">
        <x:f>IF(A4="","",IF(T4="Yes","BLOCKED - PROTECTED",IF(V4="Yes","BLOCKED - RETENTION/HOLD",IF(R4="Yes","REVIEW INTEGRATION DEPENDENCY",IF(L4&lt;&gt;"Yes","OWNER VALIDATION REQUIRED",IF(OR(S4="Critical",S4="High"),"BUSINESS RISK REVIEW REQUIRED",IF(C4="Production","PRODUCTION APPROVAL REQUIRED",IF(I4="ACTIVE","NOT ELIGIBLE - ACTIVE",IF(X4="Still Required","KEEP - OWNER CONFIRMED",IF(X4="Exception Requested","EXCEPTION PENDING","REVIEW FOR CLEANUP"))))))))))</x:f>
      </x:c>
    </x:row>
    <x:row r="5">
      <x:c r="A5" s="23"/>
      <x:c r="B5" s="23"/>
      <x:c r="C5" s="23"/>
      <x:c r="D5" s="23"/>
      <x:c r="E5" s="34"/>
      <x:c r="F5" s="34"/>
      <x:c r="G5" s="32" t="str">
        <x:f ca="1">IF(F5="","",MAX(0,TODAY()-F5))</x:f>
      </x:c>
      <x:c r="H5" s="32" t="str">
        <x:f>IF(C5="","",IFERROR(VLOOKUP(C5,'Organization Settings'!$A$4:$B$9,2,FALSE),""))</x:f>
      </x:c>
      <x:c r="I5" s="23" t="str">
        <x:f ca="1">IF(A5="","",IF(T5="Yes","PROTECTED",IF(V5="Yes","HOLD - DO NOT CLEAN",IF(OR(F5="",H5=""),"INCOMPLETE",IF(G5&gt;=H5,"REVIEW REQUIRED","ACTIVE")))))</x:f>
      </x:c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34"/>
      <x:c r="X5" s="23"/>
      <x:c r="Y5" s="34"/>
      <x:c r="Z5" s="23"/>
      <x:c r="AA5" s="23"/>
      <x:c r="AB5" s="23"/>
      <x:c r="AC5" s="34"/>
      <x:c r="AD5" s="34"/>
      <x:c r="AE5" s="34"/>
      <x:c r="AF5" s="23"/>
      <x:c r="AG5" s="23"/>
      <x:c r="AH5" s="23"/>
      <x:c r="AI5" s="23"/>
      <x:c r="AJ5" s="23" t="str">
        <x:f>IF(A5="","",IF(T5="Yes","BLOCKED - PROTECTED",IF(V5="Yes","BLOCKED - RETENTION/HOLD",IF(R5="Yes","REVIEW INTEGRATION DEPENDENCY",IF(L5&lt;&gt;"Yes","OWNER VALIDATION REQUIRED",IF(OR(S5="Critical",S5="High"),"BUSINESS RISK REVIEW REQUIRED",IF(C5="Production","PRODUCTION APPROVAL REQUIRED",IF(I5="ACTIVE","NOT ELIGIBLE - ACTIVE",IF(X5="Still Required","KEEP - OWNER CONFIRMED",IF(X5="Exception Requested","EXCEPTION PENDING","REVIEW FOR CLEANUP"))))))))))</x:f>
      </x:c>
    </x:row>
    <x:row r="6">
      <x:c r="A6" s="23"/>
      <x:c r="B6" s="23"/>
      <x:c r="C6" s="23"/>
      <x:c r="D6" s="23"/>
      <x:c r="E6" s="34"/>
      <x:c r="F6" s="34"/>
      <x:c r="G6" s="32" t="str">
        <x:f ca="1">IF(F6="","",MAX(0,TODAY()-F6))</x:f>
      </x:c>
      <x:c r="H6" s="32" t="str">
        <x:f>IF(C6="","",IFERROR(VLOOKUP(C6,'Organization Settings'!$A$4:$B$9,2,FALSE),""))</x:f>
      </x:c>
      <x:c r="I6" s="23" t="str">
        <x:f ca="1">IF(A6="","",IF(T6="Yes","PROTECTED",IF(V6="Yes","HOLD - DO NOT CLEAN",IF(OR(F6="",H6=""),"INCOMPLETE",IF(G6&gt;=H6,"REVIEW REQUIRED","ACTIVE")))))</x:f>
      </x:c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34"/>
      <x:c r="X6" s="23"/>
      <x:c r="Y6" s="34"/>
      <x:c r="Z6" s="23"/>
      <x:c r="AA6" s="23"/>
      <x:c r="AB6" s="23"/>
      <x:c r="AC6" s="34"/>
      <x:c r="AD6" s="34"/>
      <x:c r="AE6" s="34"/>
      <x:c r="AF6" s="23"/>
      <x:c r="AG6" s="23"/>
      <x:c r="AH6" s="23"/>
      <x:c r="AI6" s="23"/>
      <x:c r="AJ6" s="23" t="str">
        <x:f>IF(A6="","",IF(T6="Yes","BLOCKED - PROTECTED",IF(V6="Yes","BLOCKED - RETENTION/HOLD",IF(R6="Yes","REVIEW INTEGRATION DEPENDENCY",IF(L6&lt;&gt;"Yes","OWNER VALIDATION REQUIRED",IF(OR(S6="Critical",S6="High"),"BUSINESS RISK REVIEW REQUIRED",IF(C6="Production","PRODUCTION APPROVAL REQUIRED",IF(I6="ACTIVE","NOT ELIGIBLE - ACTIVE",IF(X6="Still Required","KEEP - OWNER CONFIRMED",IF(X6="Exception Requested","EXCEPTION PENDING","REVIEW FOR CLEANUP"))))))))))</x:f>
      </x:c>
    </x:row>
    <x:row r="7">
      <x:c r="A7" s="23"/>
      <x:c r="B7" s="23"/>
      <x:c r="C7" s="23"/>
      <x:c r="D7" s="23"/>
      <x:c r="E7" s="34"/>
      <x:c r="F7" s="34"/>
      <x:c r="G7" s="32" t="str">
        <x:f ca="1">IF(F7="","",MAX(0,TODAY()-F7))</x:f>
      </x:c>
      <x:c r="H7" s="32" t="str">
        <x:f>IF(C7="","",IFERROR(VLOOKUP(C7,'Organization Settings'!$A$4:$B$9,2,FALSE),""))</x:f>
      </x:c>
      <x:c r="I7" s="23" t="str">
        <x:f ca="1">IF(A7="","",IF(T7="Yes","PROTECTED",IF(V7="Yes","HOLD - DO NOT CLEAN",IF(OR(F7="",H7=""),"INCOMPLETE",IF(G7&gt;=H7,"REVIEW REQUIRED","ACTIVE")))))</x:f>
      </x:c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34"/>
      <x:c r="X7" s="23"/>
      <x:c r="Y7" s="34"/>
      <x:c r="Z7" s="23"/>
      <x:c r="AA7" s="23"/>
      <x:c r="AB7" s="23"/>
      <x:c r="AC7" s="34"/>
      <x:c r="AD7" s="34"/>
      <x:c r="AE7" s="34"/>
      <x:c r="AF7" s="23"/>
      <x:c r="AG7" s="23"/>
      <x:c r="AH7" s="23"/>
      <x:c r="AI7" s="23"/>
      <x:c r="AJ7" s="23" t="str">
        <x:f>IF(A7="","",IF(T7="Yes","BLOCKED - PROTECTED",IF(V7="Yes","BLOCKED - RETENTION/HOLD",IF(R7="Yes","REVIEW INTEGRATION DEPENDENCY",IF(L7&lt;&gt;"Yes","OWNER VALIDATION REQUIRED",IF(OR(S7="Critical",S7="High"),"BUSINESS RISK REVIEW REQUIRED",IF(C7="Production","PRODUCTION APPROVAL REQUIRED",IF(I7="ACTIVE","NOT ELIGIBLE - ACTIVE",IF(X7="Still Required","KEEP - OWNER CONFIRMED",IF(X7="Exception Requested","EXCEPTION PENDING","REVIEW FOR CLEANUP"))))))))))</x:f>
      </x:c>
    </x:row>
    <x:row r="8">
      <x:c r="A8" s="23"/>
      <x:c r="B8" s="23"/>
      <x:c r="C8" s="23"/>
      <x:c r="D8" s="23"/>
      <x:c r="E8" s="34"/>
      <x:c r="F8" s="34"/>
      <x:c r="G8" s="32" t="str">
        <x:f ca="1">IF(F8="","",MAX(0,TODAY()-F8))</x:f>
      </x:c>
      <x:c r="H8" s="32" t="str">
        <x:f>IF(C8="","",IFERROR(VLOOKUP(C8,'Organization Settings'!$A$4:$B$9,2,FALSE),""))</x:f>
      </x:c>
      <x:c r="I8" s="23" t="str">
        <x:f ca="1">IF(A8="","",IF(T8="Yes","PROTECTED",IF(V8="Yes","HOLD - DO NOT CLEAN",IF(OR(F8="",H8=""),"INCOMPLETE",IF(G8&gt;=H8,"REVIEW REQUIRED","ACTIVE")))))</x:f>
      </x:c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34"/>
      <x:c r="X8" s="23"/>
      <x:c r="Y8" s="34"/>
      <x:c r="Z8" s="23"/>
      <x:c r="AA8" s="23"/>
      <x:c r="AB8" s="23"/>
      <x:c r="AC8" s="34"/>
      <x:c r="AD8" s="34"/>
      <x:c r="AE8" s="34"/>
      <x:c r="AF8" s="23"/>
      <x:c r="AG8" s="23"/>
      <x:c r="AH8" s="23"/>
      <x:c r="AI8" s="23"/>
      <x:c r="AJ8" s="23" t="str">
        <x:f>IF(A8="","",IF(T8="Yes","BLOCKED - PROTECTED",IF(V8="Yes","BLOCKED - RETENTION/HOLD",IF(R8="Yes","REVIEW INTEGRATION DEPENDENCY",IF(L8&lt;&gt;"Yes","OWNER VALIDATION REQUIRED",IF(OR(S8="Critical",S8="High"),"BUSINESS RISK REVIEW REQUIRED",IF(C8="Production","PRODUCTION APPROVAL REQUIRED",IF(I8="ACTIVE","NOT ELIGIBLE - ACTIVE",IF(X8="Still Required","KEEP - OWNER CONFIRMED",IF(X8="Exception Requested","EXCEPTION PENDING","REVIEW FOR CLEANUP"))))))))))</x:f>
      </x:c>
    </x:row>
    <x:row r="9">
      <x:c r="A9" s="23"/>
      <x:c r="B9" s="23"/>
      <x:c r="C9" s="23"/>
      <x:c r="D9" s="23"/>
      <x:c r="E9" s="34"/>
      <x:c r="F9" s="34"/>
      <x:c r="G9" s="32" t="str">
        <x:f ca="1">IF(F9="","",MAX(0,TODAY()-F9))</x:f>
      </x:c>
      <x:c r="H9" s="32" t="str">
        <x:f>IF(C9="","",IFERROR(VLOOKUP(C9,'Organization Settings'!$A$4:$B$9,2,FALSE),""))</x:f>
      </x:c>
      <x:c r="I9" s="23" t="str">
        <x:f ca="1">IF(A9="","",IF(T9="Yes","PROTECTED",IF(V9="Yes","HOLD - DO NOT CLEAN",IF(OR(F9="",H9=""),"INCOMPLETE",IF(G9&gt;=H9,"REVIEW REQUIRED","ACTIVE")))))</x:f>
      </x:c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34"/>
      <x:c r="X9" s="23"/>
      <x:c r="Y9" s="34"/>
      <x:c r="Z9" s="23"/>
      <x:c r="AA9" s="23"/>
      <x:c r="AB9" s="23"/>
      <x:c r="AC9" s="34"/>
      <x:c r="AD9" s="34"/>
      <x:c r="AE9" s="34"/>
      <x:c r="AF9" s="23"/>
      <x:c r="AG9" s="23"/>
      <x:c r="AH9" s="23"/>
      <x:c r="AI9" s="23"/>
      <x:c r="AJ9" s="23" t="str">
        <x:f>IF(A9="","",IF(T9="Yes","BLOCKED - PROTECTED",IF(V9="Yes","BLOCKED - RETENTION/HOLD",IF(R9="Yes","REVIEW INTEGRATION DEPENDENCY",IF(L9&lt;&gt;"Yes","OWNER VALIDATION REQUIRED",IF(OR(S9="Critical",S9="High"),"BUSINESS RISK REVIEW REQUIRED",IF(C9="Production","PRODUCTION APPROVAL REQUIRED",IF(I9="ACTIVE","NOT ELIGIBLE - ACTIVE",IF(X9="Still Required","KEEP - OWNER CONFIRMED",IF(X9="Exception Requested","EXCEPTION PENDING","REVIEW FOR CLEANUP"))))))))))</x:f>
      </x:c>
    </x:row>
    <x:row r="10">
      <x:c r="A10" s="23"/>
      <x:c r="B10" s="23"/>
      <x:c r="C10" s="23"/>
      <x:c r="D10" s="23"/>
      <x:c r="E10" s="34"/>
      <x:c r="F10" s="34"/>
      <x:c r="G10" s="32" t="str">
        <x:f ca="1">IF(F10="","",MAX(0,TODAY()-F10))</x:f>
      </x:c>
      <x:c r="H10" s="32" t="str">
        <x:f>IF(C10="","",IFERROR(VLOOKUP(C10,'Organization Settings'!$A$4:$B$9,2,FALSE),""))</x:f>
      </x:c>
      <x:c r="I10" s="23" t="str">
        <x:f ca="1">IF(A10="","",IF(T10="Yes","PROTECTED",IF(V10="Yes","HOLD - DO NOT CLEAN",IF(OR(F10="",H10=""),"INCOMPLETE",IF(G10&gt;=H10,"REVIEW REQUIRED","ACTIVE")))))</x:f>
      </x:c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34"/>
      <x:c r="X10" s="23"/>
      <x:c r="Y10" s="34"/>
      <x:c r="Z10" s="23"/>
      <x:c r="AA10" s="23"/>
      <x:c r="AB10" s="23"/>
      <x:c r="AC10" s="34"/>
      <x:c r="AD10" s="34"/>
      <x:c r="AE10" s="34"/>
      <x:c r="AF10" s="23"/>
      <x:c r="AG10" s="23"/>
      <x:c r="AH10" s="23"/>
      <x:c r="AI10" s="23"/>
      <x:c r="AJ10" s="23" t="str">
        <x:f>IF(A10="","",IF(T10="Yes","BLOCKED - PROTECTED",IF(V10="Yes","BLOCKED - RETENTION/HOLD",IF(R10="Yes","REVIEW INTEGRATION DEPENDENCY",IF(L10&lt;&gt;"Yes","OWNER VALIDATION REQUIRED",IF(OR(S10="Critical",S10="High"),"BUSINESS RISK REVIEW REQUIRED",IF(C10="Production","PRODUCTION APPROVAL REQUIRED",IF(I10="ACTIVE","NOT ELIGIBLE - ACTIVE",IF(X10="Still Required","KEEP - OWNER CONFIRMED",IF(X10="Exception Requested","EXCEPTION PENDING","REVIEW FOR CLEANUP"))))))))))</x:f>
      </x:c>
    </x:row>
    <x:row r="11">
      <x:c r="A11" s="23"/>
      <x:c r="B11" s="23"/>
      <x:c r="C11" s="23"/>
      <x:c r="D11" s="23"/>
      <x:c r="E11" s="34"/>
      <x:c r="F11" s="34"/>
      <x:c r="G11" s="32" t="str">
        <x:f ca="1">IF(F11="","",MAX(0,TODAY()-F11))</x:f>
      </x:c>
      <x:c r="H11" s="32" t="str">
        <x:f>IF(C11="","",IFERROR(VLOOKUP(C11,'Organization Settings'!$A$4:$B$9,2,FALSE),""))</x:f>
      </x:c>
      <x:c r="I11" s="23" t="str">
        <x:f ca="1">IF(A11="","",IF(T11="Yes","PROTECTED",IF(V11="Yes","HOLD - DO NOT CLEAN",IF(OR(F11="",H11=""),"INCOMPLETE",IF(G11&gt;=H11,"REVIEW REQUIRED","ACTIVE")))))</x:f>
      </x:c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34"/>
      <x:c r="X11" s="23"/>
      <x:c r="Y11" s="34"/>
      <x:c r="Z11" s="23"/>
      <x:c r="AA11" s="23"/>
      <x:c r="AB11" s="23"/>
      <x:c r="AC11" s="34"/>
      <x:c r="AD11" s="34"/>
      <x:c r="AE11" s="34"/>
      <x:c r="AF11" s="23"/>
      <x:c r="AG11" s="23"/>
      <x:c r="AH11" s="23"/>
      <x:c r="AI11" s="23"/>
      <x:c r="AJ11" s="23" t="str">
        <x:f>IF(A11="","",IF(T11="Yes","BLOCKED - PROTECTED",IF(V11="Yes","BLOCKED - RETENTION/HOLD",IF(R11="Yes","REVIEW INTEGRATION DEPENDENCY",IF(L11&lt;&gt;"Yes","OWNER VALIDATION REQUIRED",IF(OR(S11="Critical",S11="High"),"BUSINESS RISK REVIEW REQUIRED",IF(C11="Production","PRODUCTION APPROVAL REQUIRED",IF(I11="ACTIVE","NOT ELIGIBLE - ACTIVE",IF(X11="Still Required","KEEP - OWNER CONFIRMED",IF(X11="Exception Requested","EXCEPTION PENDING","REVIEW FOR CLEANUP"))))))))))</x:f>
      </x:c>
    </x:row>
    <x:row r="12">
      <x:c r="A12" s="23"/>
      <x:c r="B12" s="23"/>
      <x:c r="C12" s="23"/>
      <x:c r="D12" s="23"/>
      <x:c r="E12" s="34"/>
      <x:c r="F12" s="34"/>
      <x:c r="G12" s="32" t="str">
        <x:f ca="1">IF(F12="","",MAX(0,TODAY()-F12))</x:f>
      </x:c>
      <x:c r="H12" s="32" t="str">
        <x:f>IF(C12="","",IFERROR(VLOOKUP(C12,'Organization Settings'!$A$4:$B$9,2,FALSE),""))</x:f>
      </x:c>
      <x:c r="I12" s="23" t="str">
        <x:f ca="1">IF(A12="","",IF(T12="Yes","PROTECTED",IF(V12="Yes","HOLD - DO NOT CLEAN",IF(OR(F12="",H12=""),"INCOMPLETE",IF(G12&gt;=H12,"REVIEW REQUIRED","ACTIVE")))))</x:f>
      </x:c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34"/>
      <x:c r="X12" s="23"/>
      <x:c r="Y12" s="34"/>
      <x:c r="Z12" s="23"/>
      <x:c r="AA12" s="23"/>
      <x:c r="AB12" s="23"/>
      <x:c r="AC12" s="34"/>
      <x:c r="AD12" s="34"/>
      <x:c r="AE12" s="34"/>
      <x:c r="AF12" s="23"/>
      <x:c r="AG12" s="23"/>
      <x:c r="AH12" s="23"/>
      <x:c r="AI12" s="23"/>
      <x:c r="AJ12" s="23" t="str">
        <x:f>IF(A12="","",IF(T12="Yes","BLOCKED - PROTECTED",IF(V12="Yes","BLOCKED - RETENTION/HOLD",IF(R12="Yes","REVIEW INTEGRATION DEPENDENCY",IF(L12&lt;&gt;"Yes","OWNER VALIDATION REQUIRED",IF(OR(S12="Critical",S12="High"),"BUSINESS RISK REVIEW REQUIRED",IF(C12="Production","PRODUCTION APPROVAL REQUIRED",IF(I12="ACTIVE","NOT ELIGIBLE - ACTIVE",IF(X12="Still Required","KEEP - OWNER CONFIRMED",IF(X12="Exception Requested","EXCEPTION PENDING","REVIEW FOR CLEANUP"))))))))))</x:f>
      </x:c>
    </x:row>
    <x:row r="13">
      <x:c r="A13" s="23"/>
      <x:c r="B13" s="23"/>
      <x:c r="C13" s="23"/>
      <x:c r="D13" s="23"/>
      <x:c r="E13" s="34"/>
      <x:c r="F13" s="34"/>
      <x:c r="G13" s="32" t="str">
        <x:f ca="1">IF(F13="","",MAX(0,TODAY()-F13))</x:f>
      </x:c>
      <x:c r="H13" s="32" t="str">
        <x:f>IF(C13="","",IFERROR(VLOOKUP(C13,'Organization Settings'!$A$4:$B$9,2,FALSE),""))</x:f>
      </x:c>
      <x:c r="I13" s="23" t="str">
        <x:f ca="1">IF(A13="","",IF(T13="Yes","PROTECTED",IF(V13="Yes","HOLD - DO NOT CLEAN",IF(OR(F13="",H13=""),"INCOMPLETE",IF(G13&gt;=H13,"REVIEW REQUIRED","ACTIVE")))))</x:f>
      </x:c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34"/>
      <x:c r="X13" s="23"/>
      <x:c r="Y13" s="34"/>
      <x:c r="Z13" s="23"/>
      <x:c r="AA13" s="23"/>
      <x:c r="AB13" s="23"/>
      <x:c r="AC13" s="34"/>
      <x:c r="AD13" s="34"/>
      <x:c r="AE13" s="34"/>
      <x:c r="AF13" s="23"/>
      <x:c r="AG13" s="23"/>
      <x:c r="AH13" s="23"/>
      <x:c r="AI13" s="23"/>
      <x:c r="AJ13" s="23" t="str">
        <x:f>IF(A13="","",IF(T13="Yes","BLOCKED - PROTECTED",IF(V13="Yes","BLOCKED - RETENTION/HOLD",IF(R13="Yes","REVIEW INTEGRATION DEPENDENCY",IF(L13&lt;&gt;"Yes","OWNER VALIDATION REQUIRED",IF(OR(S13="Critical",S13="High"),"BUSINESS RISK REVIEW REQUIRED",IF(C13="Production","PRODUCTION APPROVAL REQUIRED",IF(I13="ACTIVE","NOT ELIGIBLE - ACTIVE",IF(X13="Still Required","KEEP - OWNER CONFIRMED",IF(X13="Exception Requested","EXCEPTION PENDING","REVIEW FOR CLEANUP"))))))))))</x:f>
      </x:c>
    </x:row>
    <x:row r="14">
      <x:c r="A14" s="23"/>
      <x:c r="B14" s="23"/>
      <x:c r="C14" s="23"/>
      <x:c r="D14" s="23"/>
      <x:c r="E14" s="34"/>
      <x:c r="F14" s="34"/>
      <x:c r="G14" s="32" t="str">
        <x:f ca="1">IF(F14="","",MAX(0,TODAY()-F14))</x:f>
      </x:c>
      <x:c r="H14" s="32" t="str">
        <x:f>IF(C14="","",IFERROR(VLOOKUP(C14,'Organization Settings'!$A$4:$B$9,2,FALSE),""))</x:f>
      </x:c>
      <x:c r="I14" s="23" t="str">
        <x:f ca="1">IF(A14="","",IF(T14="Yes","PROTECTED",IF(V14="Yes","HOLD - DO NOT CLEAN",IF(OR(F14="",H14=""),"INCOMPLETE",IF(G14&gt;=H14,"REVIEW REQUIRED","ACTIVE")))))</x:f>
      </x:c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34"/>
      <x:c r="X14" s="23"/>
      <x:c r="Y14" s="34"/>
      <x:c r="Z14" s="23"/>
      <x:c r="AA14" s="23"/>
      <x:c r="AB14" s="23"/>
      <x:c r="AC14" s="34"/>
      <x:c r="AD14" s="34"/>
      <x:c r="AE14" s="34"/>
      <x:c r="AF14" s="23"/>
      <x:c r="AG14" s="23"/>
      <x:c r="AH14" s="23"/>
      <x:c r="AI14" s="23"/>
      <x:c r="AJ14" s="23" t="str">
        <x:f>IF(A14="","",IF(T14="Yes","BLOCKED - PROTECTED",IF(V14="Yes","BLOCKED - RETENTION/HOLD",IF(R14="Yes","REVIEW INTEGRATION DEPENDENCY",IF(L14&lt;&gt;"Yes","OWNER VALIDATION REQUIRED",IF(OR(S14="Critical",S14="High"),"BUSINESS RISK REVIEW REQUIRED",IF(C14="Production","PRODUCTION APPROVAL REQUIRED",IF(I14="ACTIVE","NOT ELIGIBLE - ACTIVE",IF(X14="Still Required","KEEP - OWNER CONFIRMED",IF(X14="Exception Requested","EXCEPTION PENDING","REVIEW FOR CLEANUP"))))))))))</x:f>
      </x:c>
    </x:row>
    <x:row r="15">
      <x:c r="A15" s="23"/>
      <x:c r="B15" s="23"/>
      <x:c r="C15" s="23"/>
      <x:c r="D15" s="23"/>
      <x:c r="E15" s="34"/>
      <x:c r="F15" s="34"/>
      <x:c r="G15" s="32" t="str">
        <x:f ca="1">IF(F15="","",MAX(0,TODAY()-F15))</x:f>
      </x:c>
      <x:c r="H15" s="32" t="str">
        <x:f>IF(C15="","",IFERROR(VLOOKUP(C15,'Organization Settings'!$A$4:$B$9,2,FALSE),""))</x:f>
      </x:c>
      <x:c r="I15" s="23" t="str">
        <x:f ca="1">IF(A15="","",IF(T15="Yes","PROTECTED",IF(V15="Yes","HOLD - DO NOT CLEAN",IF(OR(F15="",H15=""),"INCOMPLETE",IF(G15&gt;=H15,"REVIEW REQUIRED","ACTIVE")))))</x:f>
      </x:c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34"/>
      <x:c r="X15" s="23"/>
      <x:c r="Y15" s="34"/>
      <x:c r="Z15" s="23"/>
      <x:c r="AA15" s="23"/>
      <x:c r="AB15" s="23"/>
      <x:c r="AC15" s="34"/>
      <x:c r="AD15" s="34"/>
      <x:c r="AE15" s="34"/>
      <x:c r="AF15" s="23"/>
      <x:c r="AG15" s="23"/>
      <x:c r="AH15" s="23"/>
      <x:c r="AI15" s="23"/>
      <x:c r="AJ15" s="23" t="str">
        <x:f>IF(A15="","",IF(T15="Yes","BLOCKED - PROTECTED",IF(V15="Yes","BLOCKED - RETENTION/HOLD",IF(R15="Yes","REVIEW INTEGRATION DEPENDENCY",IF(L15&lt;&gt;"Yes","OWNER VALIDATION REQUIRED",IF(OR(S15="Critical",S15="High"),"BUSINESS RISK REVIEW REQUIRED",IF(C15="Production","PRODUCTION APPROVAL REQUIRED",IF(I15="ACTIVE","NOT ELIGIBLE - ACTIVE",IF(X15="Still Required","KEEP - OWNER CONFIRMED",IF(X15="Exception Requested","EXCEPTION PENDING","REVIEW FOR CLEANUP"))))))))))</x:f>
      </x:c>
    </x:row>
    <x:row r="16">
      <x:c r="A16" s="23"/>
      <x:c r="B16" s="23"/>
      <x:c r="C16" s="23"/>
      <x:c r="D16" s="23"/>
      <x:c r="E16" s="34"/>
      <x:c r="F16" s="34"/>
      <x:c r="G16" s="32" t="str">
        <x:f ca="1">IF(F16="","",MAX(0,TODAY()-F16))</x:f>
      </x:c>
      <x:c r="H16" s="32" t="str">
        <x:f>IF(C16="","",IFERROR(VLOOKUP(C16,'Organization Settings'!$A$4:$B$9,2,FALSE),""))</x:f>
      </x:c>
      <x:c r="I16" s="23" t="str">
        <x:f ca="1">IF(A16="","",IF(T16="Yes","PROTECTED",IF(V16="Yes","HOLD - DO NOT CLEAN",IF(OR(F16="",H16=""),"INCOMPLETE",IF(G16&gt;=H16,"REVIEW REQUIRED","ACTIVE")))))</x:f>
      </x:c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34"/>
      <x:c r="X16" s="23"/>
      <x:c r="Y16" s="34"/>
      <x:c r="Z16" s="23"/>
      <x:c r="AA16" s="23"/>
      <x:c r="AB16" s="23"/>
      <x:c r="AC16" s="34"/>
      <x:c r="AD16" s="34"/>
      <x:c r="AE16" s="34"/>
      <x:c r="AF16" s="23"/>
      <x:c r="AG16" s="23"/>
      <x:c r="AH16" s="23"/>
      <x:c r="AI16" s="23"/>
      <x:c r="AJ16" s="23" t="str">
        <x:f>IF(A16="","",IF(T16="Yes","BLOCKED - PROTECTED",IF(V16="Yes","BLOCKED - RETENTION/HOLD",IF(R16="Yes","REVIEW INTEGRATION DEPENDENCY",IF(L16&lt;&gt;"Yes","OWNER VALIDATION REQUIRED",IF(OR(S16="Critical",S16="High"),"BUSINESS RISK REVIEW REQUIRED",IF(C16="Production","PRODUCTION APPROVAL REQUIRED",IF(I16="ACTIVE","NOT ELIGIBLE - ACTIVE",IF(X16="Still Required","KEEP - OWNER CONFIRMED",IF(X16="Exception Requested","EXCEPTION PENDING","REVIEW FOR CLEANUP"))))))))))</x:f>
      </x:c>
    </x:row>
    <x:row r="17">
      <x:c r="A17" s="23"/>
      <x:c r="B17" s="23"/>
      <x:c r="C17" s="23"/>
      <x:c r="D17" s="23"/>
      <x:c r="E17" s="34"/>
      <x:c r="F17" s="34"/>
      <x:c r="G17" s="32" t="str">
        <x:f ca="1">IF(F17="","",MAX(0,TODAY()-F17))</x:f>
      </x:c>
      <x:c r="H17" s="32" t="str">
        <x:f>IF(C17="","",IFERROR(VLOOKUP(C17,'Organization Settings'!$A$4:$B$9,2,FALSE),""))</x:f>
      </x:c>
      <x:c r="I17" s="23" t="str">
        <x:f ca="1">IF(A17="","",IF(T17="Yes","PROTECTED",IF(V17="Yes","HOLD - DO NOT CLEAN",IF(OR(F17="",H17=""),"INCOMPLETE",IF(G17&gt;=H17,"REVIEW REQUIRED","ACTIVE")))))</x:f>
      </x:c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34"/>
      <x:c r="X17" s="23"/>
      <x:c r="Y17" s="34"/>
      <x:c r="Z17" s="23"/>
      <x:c r="AA17" s="23"/>
      <x:c r="AB17" s="23"/>
      <x:c r="AC17" s="34"/>
      <x:c r="AD17" s="34"/>
      <x:c r="AE17" s="34"/>
      <x:c r="AF17" s="23"/>
      <x:c r="AG17" s="23"/>
      <x:c r="AH17" s="23"/>
      <x:c r="AI17" s="23"/>
      <x:c r="AJ17" s="23" t="str">
        <x:f>IF(A17="","",IF(T17="Yes","BLOCKED - PROTECTED",IF(V17="Yes","BLOCKED - RETENTION/HOLD",IF(R17="Yes","REVIEW INTEGRATION DEPENDENCY",IF(L17&lt;&gt;"Yes","OWNER VALIDATION REQUIRED",IF(OR(S17="Critical",S17="High"),"BUSINESS RISK REVIEW REQUIRED",IF(C17="Production","PRODUCTION APPROVAL REQUIRED",IF(I17="ACTIVE","NOT ELIGIBLE - ACTIVE",IF(X17="Still Required","KEEP - OWNER CONFIRMED",IF(X17="Exception Requested","EXCEPTION PENDING","REVIEW FOR CLEANUP"))))))))))</x:f>
      </x:c>
    </x:row>
    <x:row r="18">
      <x:c r="A18" s="23"/>
      <x:c r="B18" s="23"/>
      <x:c r="C18" s="23"/>
      <x:c r="D18" s="23"/>
      <x:c r="E18" s="34"/>
      <x:c r="F18" s="34"/>
      <x:c r="G18" s="32" t="str">
        <x:f ca="1">IF(F18="","",MAX(0,TODAY()-F18))</x:f>
      </x:c>
      <x:c r="H18" s="32" t="str">
        <x:f>IF(C18="","",IFERROR(VLOOKUP(C18,'Organization Settings'!$A$4:$B$9,2,FALSE),""))</x:f>
      </x:c>
      <x:c r="I18" s="23" t="str">
        <x:f ca="1">IF(A18="","",IF(T18="Yes","PROTECTED",IF(V18="Yes","HOLD - DO NOT CLEAN",IF(OR(F18="",H18=""),"INCOMPLETE",IF(G18&gt;=H18,"REVIEW REQUIRED","ACTIVE")))))</x:f>
      </x:c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34"/>
      <x:c r="X18" s="23"/>
      <x:c r="Y18" s="34"/>
      <x:c r="Z18" s="23"/>
      <x:c r="AA18" s="23"/>
      <x:c r="AB18" s="23"/>
      <x:c r="AC18" s="34"/>
      <x:c r="AD18" s="34"/>
      <x:c r="AE18" s="34"/>
      <x:c r="AF18" s="23"/>
      <x:c r="AG18" s="23"/>
      <x:c r="AH18" s="23"/>
      <x:c r="AI18" s="23"/>
      <x:c r="AJ18" s="23" t="str">
        <x:f>IF(A18="","",IF(T18="Yes","BLOCKED - PROTECTED",IF(V18="Yes","BLOCKED - RETENTION/HOLD",IF(R18="Yes","REVIEW INTEGRATION DEPENDENCY",IF(L18&lt;&gt;"Yes","OWNER VALIDATION REQUIRED",IF(OR(S18="Critical",S18="High"),"BUSINESS RISK REVIEW REQUIRED",IF(C18="Production","PRODUCTION APPROVAL REQUIRED",IF(I18="ACTIVE","NOT ELIGIBLE - ACTIVE",IF(X18="Still Required","KEEP - OWNER CONFIRMED",IF(X18="Exception Requested","EXCEPTION PENDING","REVIEW FOR CLEANUP"))))))))))</x:f>
      </x:c>
    </x:row>
    <x:row r="19">
      <x:c r="A19" s="23"/>
      <x:c r="B19" s="23"/>
      <x:c r="C19" s="23"/>
      <x:c r="D19" s="23"/>
      <x:c r="E19" s="34"/>
      <x:c r="F19" s="34"/>
      <x:c r="G19" s="32" t="str">
        <x:f ca="1">IF(F19="","",MAX(0,TODAY()-F19))</x:f>
      </x:c>
      <x:c r="H19" s="32" t="str">
        <x:f>IF(C19="","",IFERROR(VLOOKUP(C19,'Organization Settings'!$A$4:$B$9,2,FALSE),""))</x:f>
      </x:c>
      <x:c r="I19" s="23" t="str">
        <x:f ca="1">IF(A19="","",IF(T19="Yes","PROTECTED",IF(V19="Yes","HOLD - DO NOT CLEAN",IF(OR(F19="",H19=""),"INCOMPLETE",IF(G19&gt;=H19,"REVIEW REQUIRED","ACTIVE")))))</x:f>
      </x:c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34"/>
      <x:c r="X19" s="23"/>
      <x:c r="Y19" s="34"/>
      <x:c r="Z19" s="23"/>
      <x:c r="AA19" s="23"/>
      <x:c r="AB19" s="23"/>
      <x:c r="AC19" s="34"/>
      <x:c r="AD19" s="34"/>
      <x:c r="AE19" s="34"/>
      <x:c r="AF19" s="23"/>
      <x:c r="AG19" s="23"/>
      <x:c r="AH19" s="23"/>
      <x:c r="AI19" s="23"/>
      <x:c r="AJ19" s="23" t="str">
        <x:f>IF(A19="","",IF(T19="Yes","BLOCKED - PROTECTED",IF(V19="Yes","BLOCKED - RETENTION/HOLD",IF(R19="Yes","REVIEW INTEGRATION DEPENDENCY",IF(L19&lt;&gt;"Yes","OWNER VALIDATION REQUIRED",IF(OR(S19="Critical",S19="High"),"BUSINESS RISK REVIEW REQUIRED",IF(C19="Production","PRODUCTION APPROVAL REQUIRED",IF(I19="ACTIVE","NOT ELIGIBLE - ACTIVE",IF(X19="Still Required","KEEP - OWNER CONFIRMED",IF(X19="Exception Requested","EXCEPTION PENDING","REVIEW FOR CLEANUP"))))))))))</x:f>
      </x:c>
    </x:row>
    <x:row r="20">
      <x:c r="A20" s="23"/>
      <x:c r="B20" s="23"/>
      <x:c r="C20" s="23"/>
      <x:c r="D20" s="23"/>
      <x:c r="E20" s="34"/>
      <x:c r="F20" s="34"/>
      <x:c r="G20" s="32" t="str">
        <x:f ca="1">IF(F20="","",MAX(0,TODAY()-F20))</x:f>
      </x:c>
      <x:c r="H20" s="32" t="str">
        <x:f>IF(C20="","",IFERROR(VLOOKUP(C20,'Organization Settings'!$A$4:$B$9,2,FALSE),""))</x:f>
      </x:c>
      <x:c r="I20" s="23" t="str">
        <x:f ca="1">IF(A20="","",IF(T20="Yes","PROTECTED",IF(V20="Yes","HOLD - DO NOT CLEAN",IF(OR(F20="",H20=""),"INCOMPLETE",IF(G20&gt;=H20,"REVIEW REQUIRED","ACTIVE")))))</x:f>
      </x:c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34"/>
      <x:c r="X20" s="23"/>
      <x:c r="Y20" s="34"/>
      <x:c r="Z20" s="23"/>
      <x:c r="AA20" s="23"/>
      <x:c r="AB20" s="23"/>
      <x:c r="AC20" s="34"/>
      <x:c r="AD20" s="34"/>
      <x:c r="AE20" s="34"/>
      <x:c r="AF20" s="23"/>
      <x:c r="AG20" s="23"/>
      <x:c r="AH20" s="23"/>
      <x:c r="AI20" s="23"/>
      <x:c r="AJ20" s="23" t="str">
        <x:f>IF(A20="","",IF(T20="Yes","BLOCKED - PROTECTED",IF(V20="Yes","BLOCKED - RETENTION/HOLD",IF(R20="Yes","REVIEW INTEGRATION DEPENDENCY",IF(L20&lt;&gt;"Yes","OWNER VALIDATION REQUIRED",IF(OR(S20="Critical",S20="High"),"BUSINESS RISK REVIEW REQUIRED",IF(C20="Production","PRODUCTION APPROVAL REQUIRED",IF(I20="ACTIVE","NOT ELIGIBLE - ACTIVE",IF(X20="Still Required","KEEP - OWNER CONFIRMED",IF(X20="Exception Requested","EXCEPTION PENDING","REVIEW FOR CLEANUP"))))))))))</x:f>
      </x:c>
    </x:row>
    <x:row r="21">
      <x:c r="A21" s="23"/>
      <x:c r="B21" s="23"/>
      <x:c r="C21" s="23"/>
      <x:c r="D21" s="23"/>
      <x:c r="E21" s="34"/>
      <x:c r="F21" s="34"/>
      <x:c r="G21" s="32" t="str">
        <x:f ca="1">IF(F21="","",MAX(0,TODAY()-F21))</x:f>
      </x:c>
      <x:c r="H21" s="32" t="str">
        <x:f>IF(C21="","",IFERROR(VLOOKUP(C21,'Organization Settings'!$A$4:$B$9,2,FALSE),""))</x:f>
      </x:c>
      <x:c r="I21" s="23" t="str">
        <x:f ca="1">IF(A21="","",IF(T21="Yes","PROTECTED",IF(V21="Yes","HOLD - DO NOT CLEAN",IF(OR(F21="",H21=""),"INCOMPLETE",IF(G21&gt;=H21,"REVIEW REQUIRED","ACTIVE")))))</x:f>
      </x:c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34"/>
      <x:c r="X21" s="23"/>
      <x:c r="Y21" s="34"/>
      <x:c r="Z21" s="23"/>
      <x:c r="AA21" s="23"/>
      <x:c r="AB21" s="23"/>
      <x:c r="AC21" s="34"/>
      <x:c r="AD21" s="34"/>
      <x:c r="AE21" s="34"/>
      <x:c r="AF21" s="23"/>
      <x:c r="AG21" s="23"/>
      <x:c r="AH21" s="23"/>
      <x:c r="AI21" s="23"/>
      <x:c r="AJ21" s="23" t="str">
        <x:f>IF(A21="","",IF(T21="Yes","BLOCKED - PROTECTED",IF(V21="Yes","BLOCKED - RETENTION/HOLD",IF(R21="Yes","REVIEW INTEGRATION DEPENDENCY",IF(L21&lt;&gt;"Yes","OWNER VALIDATION REQUIRED",IF(OR(S21="Critical",S21="High"),"BUSINESS RISK REVIEW REQUIRED",IF(C21="Production","PRODUCTION APPROVAL REQUIRED",IF(I21="ACTIVE","NOT ELIGIBLE - ACTIVE",IF(X21="Still Required","KEEP - OWNER CONFIRMED",IF(X21="Exception Requested","EXCEPTION PENDING","REVIEW FOR CLEANUP"))))))))))</x:f>
      </x:c>
    </x:row>
    <x:row r="22">
      <x:c r="A22" s="23"/>
      <x:c r="B22" s="23"/>
      <x:c r="C22" s="23"/>
      <x:c r="D22" s="23"/>
      <x:c r="E22" s="34"/>
      <x:c r="F22" s="34"/>
      <x:c r="G22" s="32" t="str">
        <x:f ca="1">IF(F22="","",MAX(0,TODAY()-F22))</x:f>
      </x:c>
      <x:c r="H22" s="32" t="str">
        <x:f>IF(C22="","",IFERROR(VLOOKUP(C22,'Organization Settings'!$A$4:$B$9,2,FALSE),""))</x:f>
      </x:c>
      <x:c r="I22" s="23" t="str">
        <x:f ca="1">IF(A22="","",IF(T22="Yes","PROTECTED",IF(V22="Yes","HOLD - DO NOT CLEAN",IF(OR(F22="",H22=""),"INCOMPLETE",IF(G22&gt;=H22,"REVIEW REQUIRED","ACTIVE")))))</x:f>
      </x:c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34"/>
      <x:c r="X22" s="23"/>
      <x:c r="Y22" s="34"/>
      <x:c r="Z22" s="23"/>
      <x:c r="AA22" s="23"/>
      <x:c r="AB22" s="23"/>
      <x:c r="AC22" s="34"/>
      <x:c r="AD22" s="34"/>
      <x:c r="AE22" s="34"/>
      <x:c r="AF22" s="23"/>
      <x:c r="AG22" s="23"/>
      <x:c r="AH22" s="23"/>
      <x:c r="AI22" s="23"/>
      <x:c r="AJ22" s="23" t="str">
        <x:f>IF(A22="","",IF(T22="Yes","BLOCKED - PROTECTED",IF(V22="Yes","BLOCKED - RETENTION/HOLD",IF(R22="Yes","REVIEW INTEGRATION DEPENDENCY",IF(L22&lt;&gt;"Yes","OWNER VALIDATION REQUIRED",IF(OR(S22="Critical",S22="High"),"BUSINESS RISK REVIEW REQUIRED",IF(C22="Production","PRODUCTION APPROVAL REQUIRED",IF(I22="ACTIVE","NOT ELIGIBLE - ACTIVE",IF(X22="Still Required","KEEP - OWNER CONFIRMED",IF(X22="Exception Requested","EXCEPTION PENDING","REVIEW FOR CLEANUP"))))))))))</x:f>
      </x:c>
    </x:row>
    <x:row r="23">
      <x:c r="A23" s="23"/>
      <x:c r="B23" s="23"/>
      <x:c r="C23" s="23"/>
      <x:c r="D23" s="23"/>
      <x:c r="E23" s="34"/>
      <x:c r="F23" s="34"/>
      <x:c r="G23" s="32" t="str">
        <x:f ca="1">IF(F23="","",MAX(0,TODAY()-F23))</x:f>
      </x:c>
      <x:c r="H23" s="32" t="str">
        <x:f>IF(C23="","",IFERROR(VLOOKUP(C23,'Organization Settings'!$A$4:$B$9,2,FALSE),""))</x:f>
      </x:c>
      <x:c r="I23" s="23" t="str">
        <x:f ca="1">IF(A23="","",IF(T23="Yes","PROTECTED",IF(V23="Yes","HOLD - DO NOT CLEAN",IF(OR(F23="",H23=""),"INCOMPLETE",IF(G23&gt;=H23,"REVIEW REQUIRED","ACTIVE")))))</x:f>
      </x:c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34"/>
      <x:c r="X23" s="23"/>
      <x:c r="Y23" s="34"/>
      <x:c r="Z23" s="23"/>
      <x:c r="AA23" s="23"/>
      <x:c r="AB23" s="23"/>
      <x:c r="AC23" s="34"/>
      <x:c r="AD23" s="34"/>
      <x:c r="AE23" s="34"/>
      <x:c r="AF23" s="23"/>
      <x:c r="AG23" s="23"/>
      <x:c r="AH23" s="23"/>
      <x:c r="AI23" s="23"/>
      <x:c r="AJ23" s="23" t="str">
        <x:f>IF(A23="","",IF(T23="Yes","BLOCKED - PROTECTED",IF(V23="Yes","BLOCKED - RETENTION/HOLD",IF(R23="Yes","REVIEW INTEGRATION DEPENDENCY",IF(L23&lt;&gt;"Yes","OWNER VALIDATION REQUIRED",IF(OR(S23="Critical",S23="High"),"BUSINESS RISK REVIEW REQUIRED",IF(C23="Production","PRODUCTION APPROVAL REQUIRED",IF(I23="ACTIVE","NOT ELIGIBLE - ACTIVE",IF(X23="Still Required","KEEP - OWNER CONFIRMED",IF(X23="Exception Requested","EXCEPTION PENDING","REVIEW FOR CLEANUP"))))))))))</x:f>
      </x:c>
    </x:row>
    <x:row r="24">
      <x:c r="A24" s="23"/>
      <x:c r="B24" s="23"/>
      <x:c r="C24" s="23"/>
      <x:c r="D24" s="23"/>
      <x:c r="E24" s="34"/>
      <x:c r="F24" s="34"/>
      <x:c r="G24" s="32" t="str">
        <x:f ca="1">IF(F24="","",MAX(0,TODAY()-F24))</x:f>
      </x:c>
      <x:c r="H24" s="32" t="str">
        <x:f>IF(C24="","",IFERROR(VLOOKUP(C24,'Organization Settings'!$A$4:$B$9,2,FALSE),""))</x:f>
      </x:c>
      <x:c r="I24" s="23" t="str">
        <x:f ca="1">IF(A24="","",IF(T24="Yes","PROTECTED",IF(V24="Yes","HOLD - DO NOT CLEAN",IF(OR(F24="",H24=""),"INCOMPLETE",IF(G24&gt;=H24,"REVIEW REQUIRED","ACTIVE")))))</x:f>
      </x:c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34"/>
      <x:c r="X24" s="23"/>
      <x:c r="Y24" s="34"/>
      <x:c r="Z24" s="23"/>
      <x:c r="AA24" s="23"/>
      <x:c r="AB24" s="23"/>
      <x:c r="AC24" s="34"/>
      <x:c r="AD24" s="34"/>
      <x:c r="AE24" s="34"/>
      <x:c r="AF24" s="23"/>
      <x:c r="AG24" s="23"/>
      <x:c r="AH24" s="23"/>
      <x:c r="AI24" s="23"/>
      <x:c r="AJ24" s="23" t="str">
        <x:f>IF(A24="","",IF(T24="Yes","BLOCKED - PROTECTED",IF(V24="Yes","BLOCKED - RETENTION/HOLD",IF(R24="Yes","REVIEW INTEGRATION DEPENDENCY",IF(L24&lt;&gt;"Yes","OWNER VALIDATION REQUIRED",IF(OR(S24="Critical",S24="High"),"BUSINESS RISK REVIEW REQUIRED",IF(C24="Production","PRODUCTION APPROVAL REQUIRED",IF(I24="ACTIVE","NOT ELIGIBLE - ACTIVE",IF(X24="Still Required","KEEP - OWNER CONFIRMED",IF(X24="Exception Requested","EXCEPTION PENDING","REVIEW FOR CLEANUP"))))))))))</x:f>
      </x:c>
    </x:row>
    <x:row r="25">
      <x:c r="A25" s="23"/>
      <x:c r="B25" s="23"/>
      <x:c r="C25" s="23"/>
      <x:c r="D25" s="23"/>
      <x:c r="E25" s="34"/>
      <x:c r="F25" s="34"/>
      <x:c r="G25" s="32" t="str">
        <x:f ca="1">IF(F25="","",MAX(0,TODAY()-F25))</x:f>
      </x:c>
      <x:c r="H25" s="32" t="str">
        <x:f>IF(C25="","",IFERROR(VLOOKUP(C25,'Organization Settings'!$A$4:$B$9,2,FALSE),""))</x:f>
      </x:c>
      <x:c r="I25" s="23" t="str">
        <x:f ca="1">IF(A25="","",IF(T25="Yes","PROTECTED",IF(V25="Yes","HOLD - DO NOT CLEAN",IF(OR(F25="",H25=""),"INCOMPLETE",IF(G25&gt;=H25,"REVIEW REQUIRED","ACTIVE")))))</x:f>
      </x:c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34"/>
      <x:c r="X25" s="23"/>
      <x:c r="Y25" s="34"/>
      <x:c r="Z25" s="23"/>
      <x:c r="AA25" s="23"/>
      <x:c r="AB25" s="23"/>
      <x:c r="AC25" s="34"/>
      <x:c r="AD25" s="34"/>
      <x:c r="AE25" s="34"/>
      <x:c r="AF25" s="23"/>
      <x:c r="AG25" s="23"/>
      <x:c r="AH25" s="23"/>
      <x:c r="AI25" s="23"/>
      <x:c r="AJ25" s="23" t="str">
        <x:f>IF(A25="","",IF(T25="Yes","BLOCKED - PROTECTED",IF(V25="Yes","BLOCKED - RETENTION/HOLD",IF(R25="Yes","REVIEW INTEGRATION DEPENDENCY",IF(L25&lt;&gt;"Yes","OWNER VALIDATION REQUIRED",IF(OR(S25="Critical",S25="High"),"BUSINESS RISK REVIEW REQUIRED",IF(C25="Production","PRODUCTION APPROVAL REQUIRED",IF(I25="ACTIVE","NOT ELIGIBLE - ACTIVE",IF(X25="Still Required","KEEP - OWNER CONFIRMED",IF(X25="Exception Requested","EXCEPTION PENDING","REVIEW FOR CLEANUP"))))))))))</x:f>
      </x:c>
    </x:row>
    <x:row r="26">
      <x:c r="A26" s="23"/>
      <x:c r="B26" s="23"/>
      <x:c r="C26" s="23"/>
      <x:c r="D26" s="23"/>
      <x:c r="E26" s="34"/>
      <x:c r="F26" s="34"/>
      <x:c r="G26" s="32" t="str">
        <x:f ca="1">IF(F26="","",MAX(0,TODAY()-F26))</x:f>
      </x:c>
      <x:c r="H26" s="32" t="str">
        <x:f>IF(C26="","",IFERROR(VLOOKUP(C26,'Organization Settings'!$A$4:$B$9,2,FALSE),""))</x:f>
      </x:c>
      <x:c r="I26" s="23" t="str">
        <x:f ca="1">IF(A26="","",IF(T26="Yes","PROTECTED",IF(V26="Yes","HOLD - DO NOT CLEAN",IF(OR(F26="",H26=""),"INCOMPLETE",IF(G26&gt;=H26,"REVIEW REQUIRED","ACTIVE")))))</x:f>
      </x:c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34"/>
      <x:c r="X26" s="23"/>
      <x:c r="Y26" s="34"/>
      <x:c r="Z26" s="23"/>
      <x:c r="AA26" s="23"/>
      <x:c r="AB26" s="23"/>
      <x:c r="AC26" s="34"/>
      <x:c r="AD26" s="34"/>
      <x:c r="AE26" s="34"/>
      <x:c r="AF26" s="23"/>
      <x:c r="AG26" s="23"/>
      <x:c r="AH26" s="23"/>
      <x:c r="AI26" s="23"/>
      <x:c r="AJ26" s="23" t="str">
        <x:f>IF(A26="","",IF(T26="Yes","BLOCKED - PROTECTED",IF(V26="Yes","BLOCKED - RETENTION/HOLD",IF(R26="Yes","REVIEW INTEGRATION DEPENDENCY",IF(L26&lt;&gt;"Yes","OWNER VALIDATION REQUIRED",IF(OR(S26="Critical",S26="High"),"BUSINESS RISK REVIEW REQUIRED",IF(C26="Production","PRODUCTION APPROVAL REQUIRED",IF(I26="ACTIVE","NOT ELIGIBLE - ACTIVE",IF(X26="Still Required","KEEP - OWNER CONFIRMED",IF(X26="Exception Requested","EXCEPTION PENDING","REVIEW FOR CLEANUP"))))))))))</x:f>
      </x:c>
    </x:row>
    <x:row r="27">
      <x:c r="A27" s="23"/>
      <x:c r="B27" s="23"/>
      <x:c r="C27" s="23"/>
      <x:c r="D27" s="23"/>
      <x:c r="E27" s="34"/>
      <x:c r="F27" s="34"/>
      <x:c r="G27" s="32" t="str">
        <x:f ca="1">IF(F27="","",MAX(0,TODAY()-F27))</x:f>
      </x:c>
      <x:c r="H27" s="32" t="str">
        <x:f>IF(C27="","",IFERROR(VLOOKUP(C27,'Organization Settings'!$A$4:$B$9,2,FALSE),""))</x:f>
      </x:c>
      <x:c r="I27" s="23" t="str">
        <x:f ca="1">IF(A27="","",IF(T27="Yes","PROTECTED",IF(V27="Yes","HOLD - DO NOT CLEAN",IF(OR(F27="",H27=""),"INCOMPLETE",IF(G27&gt;=H27,"REVIEW REQUIRED","ACTIVE")))))</x:f>
      </x:c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34"/>
      <x:c r="X27" s="23"/>
      <x:c r="Y27" s="34"/>
      <x:c r="Z27" s="23"/>
      <x:c r="AA27" s="23"/>
      <x:c r="AB27" s="23"/>
      <x:c r="AC27" s="34"/>
      <x:c r="AD27" s="34"/>
      <x:c r="AE27" s="34"/>
      <x:c r="AF27" s="23"/>
      <x:c r="AG27" s="23"/>
      <x:c r="AH27" s="23"/>
      <x:c r="AI27" s="23"/>
      <x:c r="AJ27" s="23" t="str">
        <x:f>IF(A27="","",IF(T27="Yes","BLOCKED - PROTECTED",IF(V27="Yes","BLOCKED - RETENTION/HOLD",IF(R27="Yes","REVIEW INTEGRATION DEPENDENCY",IF(L27&lt;&gt;"Yes","OWNER VALIDATION REQUIRED",IF(OR(S27="Critical",S27="High"),"BUSINESS RISK REVIEW REQUIRED",IF(C27="Production","PRODUCTION APPROVAL REQUIRED",IF(I27="ACTIVE","NOT ELIGIBLE - ACTIVE",IF(X27="Still Required","KEEP - OWNER CONFIRMED",IF(X27="Exception Requested","EXCEPTION PENDING","REVIEW FOR CLEANUP"))))))))))</x:f>
      </x:c>
    </x:row>
    <x:row r="28">
      <x:c r="A28" s="23"/>
      <x:c r="B28" s="23"/>
      <x:c r="C28" s="23"/>
      <x:c r="D28" s="23"/>
      <x:c r="E28" s="34"/>
      <x:c r="F28" s="34"/>
      <x:c r="G28" s="32" t="str">
        <x:f ca="1">IF(F28="","",MAX(0,TODAY()-F28))</x:f>
      </x:c>
      <x:c r="H28" s="32" t="str">
        <x:f>IF(C28="","",IFERROR(VLOOKUP(C28,'Organization Settings'!$A$4:$B$9,2,FALSE),""))</x:f>
      </x:c>
      <x:c r="I28" s="23" t="str">
        <x:f ca="1">IF(A28="","",IF(T28="Yes","PROTECTED",IF(V28="Yes","HOLD - DO NOT CLEAN",IF(OR(F28="",H28=""),"INCOMPLETE",IF(G28&gt;=H28,"REVIEW REQUIRED","ACTIVE")))))</x:f>
      </x:c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34"/>
      <x:c r="X28" s="23"/>
      <x:c r="Y28" s="34"/>
      <x:c r="Z28" s="23"/>
      <x:c r="AA28" s="23"/>
      <x:c r="AB28" s="23"/>
      <x:c r="AC28" s="34"/>
      <x:c r="AD28" s="34"/>
      <x:c r="AE28" s="34"/>
      <x:c r="AF28" s="23"/>
      <x:c r="AG28" s="23"/>
      <x:c r="AH28" s="23"/>
      <x:c r="AI28" s="23"/>
      <x:c r="AJ28" s="23" t="str">
        <x:f>IF(A28="","",IF(T28="Yes","BLOCKED - PROTECTED",IF(V28="Yes","BLOCKED - RETENTION/HOLD",IF(R28="Yes","REVIEW INTEGRATION DEPENDENCY",IF(L28&lt;&gt;"Yes","OWNER VALIDATION REQUIRED",IF(OR(S28="Critical",S28="High"),"BUSINESS RISK REVIEW REQUIRED",IF(C28="Production","PRODUCTION APPROVAL REQUIRED",IF(I28="ACTIVE","NOT ELIGIBLE - ACTIVE",IF(X28="Still Required","KEEP - OWNER CONFIRMED",IF(X28="Exception Requested","EXCEPTION PENDING","REVIEW FOR CLEANUP"))))))))))</x:f>
      </x:c>
    </x:row>
    <x:row r="29">
      <x:c r="A29" s="23"/>
      <x:c r="B29" s="23"/>
      <x:c r="C29" s="23"/>
      <x:c r="D29" s="23"/>
      <x:c r="E29" s="34"/>
      <x:c r="F29" s="34"/>
      <x:c r="G29" s="32" t="str">
        <x:f ca="1">IF(F29="","",MAX(0,TODAY()-F29))</x:f>
      </x:c>
      <x:c r="H29" s="32" t="str">
        <x:f>IF(C29="","",IFERROR(VLOOKUP(C29,'Organization Settings'!$A$4:$B$9,2,FALSE),""))</x:f>
      </x:c>
      <x:c r="I29" s="23" t="str">
        <x:f ca="1">IF(A29="","",IF(T29="Yes","PROTECTED",IF(V29="Yes","HOLD - DO NOT CLEAN",IF(OR(F29="",H29=""),"INCOMPLETE",IF(G29&gt;=H29,"REVIEW REQUIRED","ACTIVE")))))</x:f>
      </x:c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34"/>
      <x:c r="X29" s="23"/>
      <x:c r="Y29" s="34"/>
      <x:c r="Z29" s="23"/>
      <x:c r="AA29" s="23"/>
      <x:c r="AB29" s="23"/>
      <x:c r="AC29" s="34"/>
      <x:c r="AD29" s="34"/>
      <x:c r="AE29" s="34"/>
      <x:c r="AF29" s="23"/>
      <x:c r="AG29" s="23"/>
      <x:c r="AH29" s="23"/>
      <x:c r="AI29" s="23"/>
      <x:c r="AJ29" s="23" t="str">
        <x:f>IF(A29="","",IF(T29="Yes","BLOCKED - PROTECTED",IF(V29="Yes","BLOCKED - RETENTION/HOLD",IF(R29="Yes","REVIEW INTEGRATION DEPENDENCY",IF(L29&lt;&gt;"Yes","OWNER VALIDATION REQUIRED",IF(OR(S29="Critical",S29="High"),"BUSINESS RISK REVIEW REQUIRED",IF(C29="Production","PRODUCTION APPROVAL REQUIRED",IF(I29="ACTIVE","NOT ELIGIBLE - ACTIVE",IF(X29="Still Required","KEEP - OWNER CONFIRMED",IF(X29="Exception Requested","EXCEPTION PENDING","REVIEW FOR CLEANUP"))))))))))</x:f>
      </x:c>
    </x:row>
    <x:row r="30">
      <x:c r="A30" s="23"/>
      <x:c r="B30" s="23"/>
      <x:c r="C30" s="23"/>
      <x:c r="D30" s="23"/>
      <x:c r="E30" s="34"/>
      <x:c r="F30" s="34"/>
      <x:c r="G30" s="32" t="str">
        <x:f ca="1">IF(F30="","",MAX(0,TODAY()-F30))</x:f>
      </x:c>
      <x:c r="H30" s="32" t="str">
        <x:f>IF(C30="","",IFERROR(VLOOKUP(C30,'Organization Settings'!$A$4:$B$9,2,FALSE),""))</x:f>
      </x:c>
      <x:c r="I30" s="23" t="str">
        <x:f ca="1">IF(A30="","",IF(T30="Yes","PROTECTED",IF(V30="Yes","HOLD - DO NOT CLEAN",IF(OR(F30="",H30=""),"INCOMPLETE",IF(G30&gt;=H30,"REVIEW REQUIRED","ACTIVE")))))</x:f>
      </x:c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34"/>
      <x:c r="X30" s="23"/>
      <x:c r="Y30" s="34"/>
      <x:c r="Z30" s="23"/>
      <x:c r="AA30" s="23"/>
      <x:c r="AB30" s="23"/>
      <x:c r="AC30" s="34"/>
      <x:c r="AD30" s="34"/>
      <x:c r="AE30" s="34"/>
      <x:c r="AF30" s="23"/>
      <x:c r="AG30" s="23"/>
      <x:c r="AH30" s="23"/>
      <x:c r="AI30" s="23"/>
      <x:c r="AJ30" s="23" t="str">
        <x:f>IF(A30="","",IF(T30="Yes","BLOCKED - PROTECTED",IF(V30="Yes","BLOCKED - RETENTION/HOLD",IF(R30="Yes","REVIEW INTEGRATION DEPENDENCY",IF(L30&lt;&gt;"Yes","OWNER VALIDATION REQUIRED",IF(OR(S30="Critical",S30="High"),"BUSINESS RISK REVIEW REQUIRED",IF(C30="Production","PRODUCTION APPROVAL REQUIRED",IF(I30="ACTIVE","NOT ELIGIBLE - ACTIVE",IF(X30="Still Required","KEEP - OWNER CONFIRMED",IF(X30="Exception Requested","EXCEPTION PENDING","REVIEW FOR CLEANUP"))))))))))</x:f>
      </x:c>
    </x:row>
    <x:row r="31">
      <x:c r="A31" s="23"/>
      <x:c r="B31" s="23"/>
      <x:c r="C31" s="23"/>
      <x:c r="D31" s="23"/>
      <x:c r="E31" s="34"/>
      <x:c r="F31" s="34"/>
      <x:c r="G31" s="32" t="str">
        <x:f ca="1">IF(F31="","",MAX(0,TODAY()-F31))</x:f>
      </x:c>
      <x:c r="H31" s="32" t="str">
        <x:f>IF(C31="","",IFERROR(VLOOKUP(C31,'Organization Settings'!$A$4:$B$9,2,FALSE),""))</x:f>
      </x:c>
      <x:c r="I31" s="23" t="str">
        <x:f ca="1">IF(A31="","",IF(T31="Yes","PROTECTED",IF(V31="Yes","HOLD - DO NOT CLEAN",IF(OR(F31="",H31=""),"INCOMPLETE",IF(G31&gt;=H31,"REVIEW REQUIRED","ACTIVE")))))</x:f>
      </x:c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34"/>
      <x:c r="X31" s="23"/>
      <x:c r="Y31" s="34"/>
      <x:c r="Z31" s="23"/>
      <x:c r="AA31" s="23"/>
      <x:c r="AB31" s="23"/>
      <x:c r="AC31" s="34"/>
      <x:c r="AD31" s="34"/>
      <x:c r="AE31" s="34"/>
      <x:c r="AF31" s="23"/>
      <x:c r="AG31" s="23"/>
      <x:c r="AH31" s="23"/>
      <x:c r="AI31" s="23"/>
      <x:c r="AJ31" s="23" t="str">
        <x:f>IF(A31="","",IF(T31="Yes","BLOCKED - PROTECTED",IF(V31="Yes","BLOCKED - RETENTION/HOLD",IF(R31="Yes","REVIEW INTEGRATION DEPENDENCY",IF(L31&lt;&gt;"Yes","OWNER VALIDATION REQUIRED",IF(OR(S31="Critical",S31="High"),"BUSINESS RISK REVIEW REQUIRED",IF(C31="Production","PRODUCTION APPROVAL REQUIRED",IF(I31="ACTIVE","NOT ELIGIBLE - ACTIVE",IF(X31="Still Required","KEEP - OWNER CONFIRMED",IF(X31="Exception Requested","EXCEPTION PENDING","REVIEW FOR CLEANUP"))))))))))</x:f>
      </x:c>
    </x:row>
    <x:row r="32">
      <x:c r="A32" s="23"/>
      <x:c r="B32" s="23"/>
      <x:c r="C32" s="23"/>
      <x:c r="D32" s="23"/>
      <x:c r="E32" s="34"/>
      <x:c r="F32" s="34"/>
      <x:c r="G32" s="32" t="str">
        <x:f ca="1">IF(F32="","",MAX(0,TODAY()-F32))</x:f>
      </x:c>
      <x:c r="H32" s="32" t="str">
        <x:f>IF(C32="","",IFERROR(VLOOKUP(C32,'Organization Settings'!$A$4:$B$9,2,FALSE),""))</x:f>
      </x:c>
      <x:c r="I32" s="23" t="str">
        <x:f ca="1">IF(A32="","",IF(T32="Yes","PROTECTED",IF(V32="Yes","HOLD - DO NOT CLEAN",IF(OR(F32="",H32=""),"INCOMPLETE",IF(G32&gt;=H32,"REVIEW REQUIRED","ACTIVE")))))</x:f>
      </x:c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34"/>
      <x:c r="X32" s="23"/>
      <x:c r="Y32" s="34"/>
      <x:c r="Z32" s="23"/>
      <x:c r="AA32" s="23"/>
      <x:c r="AB32" s="23"/>
      <x:c r="AC32" s="34"/>
      <x:c r="AD32" s="34"/>
      <x:c r="AE32" s="34"/>
      <x:c r="AF32" s="23"/>
      <x:c r="AG32" s="23"/>
      <x:c r="AH32" s="23"/>
      <x:c r="AI32" s="23"/>
      <x:c r="AJ32" s="23" t="str">
        <x:f>IF(A32="","",IF(T32="Yes","BLOCKED - PROTECTED",IF(V32="Yes","BLOCKED - RETENTION/HOLD",IF(R32="Yes","REVIEW INTEGRATION DEPENDENCY",IF(L32&lt;&gt;"Yes","OWNER VALIDATION REQUIRED",IF(OR(S32="Critical",S32="High"),"BUSINESS RISK REVIEW REQUIRED",IF(C32="Production","PRODUCTION APPROVAL REQUIRED",IF(I32="ACTIVE","NOT ELIGIBLE - ACTIVE",IF(X32="Still Required","KEEP - OWNER CONFIRMED",IF(X32="Exception Requested","EXCEPTION PENDING","REVIEW FOR CLEANUP"))))))))))</x:f>
      </x:c>
    </x:row>
    <x:row r="33">
      <x:c r="A33" s="23"/>
      <x:c r="B33" s="23"/>
      <x:c r="C33" s="23"/>
      <x:c r="D33" s="23"/>
      <x:c r="E33" s="34"/>
      <x:c r="F33" s="34"/>
      <x:c r="G33" s="32" t="str">
        <x:f ca="1">IF(F33="","",MAX(0,TODAY()-F33))</x:f>
      </x:c>
      <x:c r="H33" s="32" t="str">
        <x:f>IF(C33="","",IFERROR(VLOOKUP(C33,'Organization Settings'!$A$4:$B$9,2,FALSE),""))</x:f>
      </x:c>
      <x:c r="I33" s="23" t="str">
        <x:f ca="1">IF(A33="","",IF(T33="Yes","PROTECTED",IF(V33="Yes","HOLD - DO NOT CLEAN",IF(OR(F33="",H33=""),"INCOMPLETE",IF(G33&gt;=H33,"REVIEW REQUIRED","ACTIVE")))))</x:f>
      </x:c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34"/>
      <x:c r="X33" s="23"/>
      <x:c r="Y33" s="34"/>
      <x:c r="Z33" s="23"/>
      <x:c r="AA33" s="23"/>
      <x:c r="AB33" s="23"/>
      <x:c r="AC33" s="34"/>
      <x:c r="AD33" s="34"/>
      <x:c r="AE33" s="34"/>
      <x:c r="AF33" s="23"/>
      <x:c r="AG33" s="23"/>
      <x:c r="AH33" s="23"/>
      <x:c r="AI33" s="23"/>
      <x:c r="AJ33" s="23" t="str">
        <x:f>IF(A33="","",IF(T33="Yes","BLOCKED - PROTECTED",IF(V33="Yes","BLOCKED - RETENTION/HOLD",IF(R33="Yes","REVIEW INTEGRATION DEPENDENCY",IF(L33&lt;&gt;"Yes","OWNER VALIDATION REQUIRED",IF(OR(S33="Critical",S33="High"),"BUSINESS RISK REVIEW REQUIRED",IF(C33="Production","PRODUCTION APPROVAL REQUIRED",IF(I33="ACTIVE","NOT ELIGIBLE - ACTIVE",IF(X33="Still Required","KEEP - OWNER CONFIRMED",IF(X33="Exception Requested","EXCEPTION PENDING","REVIEW FOR CLEANUP"))))))))))</x:f>
      </x:c>
    </x:row>
    <x:row r="34">
      <x:c r="A34" s="23"/>
      <x:c r="B34" s="23"/>
      <x:c r="C34" s="23"/>
      <x:c r="D34" s="23"/>
      <x:c r="E34" s="34"/>
      <x:c r="F34" s="34"/>
      <x:c r="G34" s="32" t="str">
        <x:f ca="1">IF(F34="","",MAX(0,TODAY()-F34))</x:f>
      </x:c>
      <x:c r="H34" s="32" t="str">
        <x:f>IF(C34="","",IFERROR(VLOOKUP(C34,'Organization Settings'!$A$4:$B$9,2,FALSE),""))</x:f>
      </x:c>
      <x:c r="I34" s="23" t="str">
        <x:f ca="1">IF(A34="","",IF(T34="Yes","PROTECTED",IF(V34="Yes","HOLD - DO NOT CLEAN",IF(OR(F34="",H34=""),"INCOMPLETE",IF(G34&gt;=H34,"REVIEW REQUIRED","ACTIVE")))))</x:f>
      </x:c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34"/>
      <x:c r="X34" s="23"/>
      <x:c r="Y34" s="34"/>
      <x:c r="Z34" s="23"/>
      <x:c r="AA34" s="23"/>
      <x:c r="AB34" s="23"/>
      <x:c r="AC34" s="34"/>
      <x:c r="AD34" s="34"/>
      <x:c r="AE34" s="34"/>
      <x:c r="AF34" s="23"/>
      <x:c r="AG34" s="23"/>
      <x:c r="AH34" s="23"/>
      <x:c r="AI34" s="23"/>
      <x:c r="AJ34" s="23" t="str">
        <x:f>IF(A34="","",IF(T34="Yes","BLOCKED - PROTECTED",IF(V34="Yes","BLOCKED - RETENTION/HOLD",IF(R34="Yes","REVIEW INTEGRATION DEPENDENCY",IF(L34&lt;&gt;"Yes","OWNER VALIDATION REQUIRED",IF(OR(S34="Critical",S34="High"),"BUSINESS RISK REVIEW REQUIRED",IF(C34="Production","PRODUCTION APPROVAL REQUIRED",IF(I34="ACTIVE","NOT ELIGIBLE - ACTIVE",IF(X34="Still Required","KEEP - OWNER CONFIRMED",IF(X34="Exception Requested","EXCEPTION PENDING","REVIEW FOR CLEANUP"))))))))))</x:f>
      </x:c>
    </x:row>
    <x:row r="35">
      <x:c r="A35" s="23"/>
      <x:c r="B35" s="23"/>
      <x:c r="C35" s="23"/>
      <x:c r="D35" s="23"/>
      <x:c r="E35" s="34"/>
      <x:c r="F35" s="34"/>
      <x:c r="G35" s="32" t="str">
        <x:f ca="1">IF(F35="","",MAX(0,TODAY()-F35))</x:f>
      </x:c>
      <x:c r="H35" s="32" t="str">
        <x:f>IF(C35="","",IFERROR(VLOOKUP(C35,'Organization Settings'!$A$4:$B$9,2,FALSE),""))</x:f>
      </x:c>
      <x:c r="I35" s="23" t="str">
        <x:f ca="1">IF(A35="","",IF(T35="Yes","PROTECTED",IF(V35="Yes","HOLD - DO NOT CLEAN",IF(OR(F35="",H35=""),"INCOMPLETE",IF(G35&gt;=H35,"REVIEW REQUIRED","ACTIVE")))))</x:f>
      </x:c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34"/>
      <x:c r="X35" s="23"/>
      <x:c r="Y35" s="34"/>
      <x:c r="Z35" s="23"/>
      <x:c r="AA35" s="23"/>
      <x:c r="AB35" s="23"/>
      <x:c r="AC35" s="34"/>
      <x:c r="AD35" s="34"/>
      <x:c r="AE35" s="34"/>
      <x:c r="AF35" s="23"/>
      <x:c r="AG35" s="23"/>
      <x:c r="AH35" s="23"/>
      <x:c r="AI35" s="23"/>
      <x:c r="AJ35" s="23" t="str">
        <x:f>IF(A35="","",IF(T35="Yes","BLOCKED - PROTECTED",IF(V35="Yes","BLOCKED - RETENTION/HOLD",IF(R35="Yes","REVIEW INTEGRATION DEPENDENCY",IF(L35&lt;&gt;"Yes","OWNER VALIDATION REQUIRED",IF(OR(S35="Critical",S35="High"),"BUSINESS RISK REVIEW REQUIRED",IF(C35="Production","PRODUCTION APPROVAL REQUIRED",IF(I35="ACTIVE","NOT ELIGIBLE - ACTIVE",IF(X35="Still Required","KEEP - OWNER CONFIRMED",IF(X35="Exception Requested","EXCEPTION PENDING","REVIEW FOR CLEANUP"))))))))))</x:f>
      </x:c>
    </x:row>
    <x:row r="36">
      <x:c r="A36" s="23"/>
      <x:c r="B36" s="23"/>
      <x:c r="C36" s="23"/>
      <x:c r="D36" s="23"/>
      <x:c r="E36" s="34"/>
      <x:c r="F36" s="34"/>
      <x:c r="G36" s="32" t="str">
        <x:f ca="1">IF(F36="","",MAX(0,TODAY()-F36))</x:f>
      </x:c>
      <x:c r="H36" s="32" t="str">
        <x:f>IF(C36="","",IFERROR(VLOOKUP(C36,'Organization Settings'!$A$4:$B$9,2,FALSE),""))</x:f>
      </x:c>
      <x:c r="I36" s="23" t="str">
        <x:f ca="1">IF(A36="","",IF(T36="Yes","PROTECTED",IF(V36="Yes","HOLD - DO NOT CLEAN",IF(OR(F36="",H36=""),"INCOMPLETE",IF(G36&gt;=H36,"REVIEW REQUIRED","ACTIVE")))))</x:f>
      </x:c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34"/>
      <x:c r="X36" s="23"/>
      <x:c r="Y36" s="34"/>
      <x:c r="Z36" s="23"/>
      <x:c r="AA36" s="23"/>
      <x:c r="AB36" s="23"/>
      <x:c r="AC36" s="34"/>
      <x:c r="AD36" s="34"/>
      <x:c r="AE36" s="34"/>
      <x:c r="AF36" s="23"/>
      <x:c r="AG36" s="23"/>
      <x:c r="AH36" s="23"/>
      <x:c r="AI36" s="23"/>
      <x:c r="AJ36" s="23" t="str">
        <x:f>IF(A36="","",IF(T36="Yes","BLOCKED - PROTECTED",IF(V36="Yes","BLOCKED - RETENTION/HOLD",IF(R36="Yes","REVIEW INTEGRATION DEPENDENCY",IF(L36&lt;&gt;"Yes","OWNER VALIDATION REQUIRED",IF(OR(S36="Critical",S36="High"),"BUSINESS RISK REVIEW REQUIRED",IF(C36="Production","PRODUCTION APPROVAL REQUIRED",IF(I36="ACTIVE","NOT ELIGIBLE - ACTIVE",IF(X36="Still Required","KEEP - OWNER CONFIRMED",IF(X36="Exception Requested","EXCEPTION PENDING","REVIEW FOR CLEANUP"))))))))))</x:f>
      </x:c>
    </x:row>
    <x:row r="37">
      <x:c r="A37" s="23"/>
      <x:c r="B37" s="23"/>
      <x:c r="C37" s="23"/>
      <x:c r="D37" s="23"/>
      <x:c r="E37" s="34"/>
      <x:c r="F37" s="34"/>
      <x:c r="G37" s="32" t="str">
        <x:f ca="1">IF(F37="","",MAX(0,TODAY()-F37))</x:f>
      </x:c>
      <x:c r="H37" s="32" t="str">
        <x:f>IF(C37="","",IFERROR(VLOOKUP(C37,'Organization Settings'!$A$4:$B$9,2,FALSE),""))</x:f>
      </x:c>
      <x:c r="I37" s="23" t="str">
        <x:f ca="1">IF(A37="","",IF(T37="Yes","PROTECTED",IF(V37="Yes","HOLD - DO NOT CLEAN",IF(OR(F37="",H37=""),"INCOMPLETE",IF(G37&gt;=H37,"REVIEW REQUIRED","ACTIVE")))))</x:f>
      </x:c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34"/>
      <x:c r="X37" s="23"/>
      <x:c r="Y37" s="34"/>
      <x:c r="Z37" s="23"/>
      <x:c r="AA37" s="23"/>
      <x:c r="AB37" s="23"/>
      <x:c r="AC37" s="34"/>
      <x:c r="AD37" s="34"/>
      <x:c r="AE37" s="34"/>
      <x:c r="AF37" s="23"/>
      <x:c r="AG37" s="23"/>
      <x:c r="AH37" s="23"/>
      <x:c r="AI37" s="23"/>
      <x:c r="AJ37" s="23" t="str">
        <x:f>IF(A37="","",IF(T37="Yes","BLOCKED - PROTECTED",IF(V37="Yes","BLOCKED - RETENTION/HOLD",IF(R37="Yes","REVIEW INTEGRATION DEPENDENCY",IF(L37&lt;&gt;"Yes","OWNER VALIDATION REQUIRED",IF(OR(S37="Critical",S37="High"),"BUSINESS RISK REVIEW REQUIRED",IF(C37="Production","PRODUCTION APPROVAL REQUIRED",IF(I37="ACTIVE","NOT ELIGIBLE - ACTIVE",IF(X37="Still Required","KEEP - OWNER CONFIRMED",IF(X37="Exception Requested","EXCEPTION PENDING","REVIEW FOR CLEANUP"))))))))))</x:f>
      </x:c>
    </x:row>
    <x:row r="38">
      <x:c r="A38" s="23"/>
      <x:c r="B38" s="23"/>
      <x:c r="C38" s="23"/>
      <x:c r="D38" s="23"/>
      <x:c r="E38" s="34"/>
      <x:c r="F38" s="34"/>
      <x:c r="G38" s="32" t="str">
        <x:f ca="1">IF(F38="","",MAX(0,TODAY()-F38))</x:f>
      </x:c>
      <x:c r="H38" s="32" t="str">
        <x:f>IF(C38="","",IFERROR(VLOOKUP(C38,'Organization Settings'!$A$4:$B$9,2,FALSE),""))</x:f>
      </x:c>
      <x:c r="I38" s="23" t="str">
        <x:f ca="1">IF(A38="","",IF(T38="Yes","PROTECTED",IF(V38="Yes","HOLD - DO NOT CLEAN",IF(OR(F38="",H38=""),"INCOMPLETE",IF(G38&gt;=H38,"REVIEW REQUIRED","ACTIVE")))))</x:f>
      </x:c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34"/>
      <x:c r="X38" s="23"/>
      <x:c r="Y38" s="34"/>
      <x:c r="Z38" s="23"/>
      <x:c r="AA38" s="23"/>
      <x:c r="AB38" s="23"/>
      <x:c r="AC38" s="34"/>
      <x:c r="AD38" s="34"/>
      <x:c r="AE38" s="34"/>
      <x:c r="AF38" s="23"/>
      <x:c r="AG38" s="23"/>
      <x:c r="AH38" s="23"/>
      <x:c r="AI38" s="23"/>
      <x:c r="AJ38" s="23" t="str">
        <x:f>IF(A38="","",IF(T38="Yes","BLOCKED - PROTECTED",IF(V38="Yes","BLOCKED - RETENTION/HOLD",IF(R38="Yes","REVIEW INTEGRATION DEPENDENCY",IF(L38&lt;&gt;"Yes","OWNER VALIDATION REQUIRED",IF(OR(S38="Critical",S38="High"),"BUSINESS RISK REVIEW REQUIRED",IF(C38="Production","PRODUCTION APPROVAL REQUIRED",IF(I38="ACTIVE","NOT ELIGIBLE - ACTIVE",IF(X38="Still Required","KEEP - OWNER CONFIRMED",IF(X38="Exception Requested","EXCEPTION PENDING","REVIEW FOR CLEANUP"))))))))))</x:f>
      </x:c>
    </x:row>
    <x:row r="39">
      <x:c r="A39" s="23"/>
      <x:c r="B39" s="23"/>
      <x:c r="C39" s="23"/>
      <x:c r="D39" s="23"/>
      <x:c r="E39" s="34"/>
      <x:c r="F39" s="34"/>
      <x:c r="G39" s="32" t="str">
        <x:f ca="1">IF(F39="","",MAX(0,TODAY()-F39))</x:f>
      </x:c>
      <x:c r="H39" s="32" t="str">
        <x:f>IF(C39="","",IFERROR(VLOOKUP(C39,'Organization Settings'!$A$4:$B$9,2,FALSE),""))</x:f>
      </x:c>
      <x:c r="I39" s="23" t="str">
        <x:f ca="1">IF(A39="","",IF(T39="Yes","PROTECTED",IF(V39="Yes","HOLD - DO NOT CLEAN",IF(OR(F39="",H39=""),"INCOMPLETE",IF(G39&gt;=H39,"REVIEW REQUIRED","ACTIVE")))))</x:f>
      </x:c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34"/>
      <x:c r="X39" s="23"/>
      <x:c r="Y39" s="34"/>
      <x:c r="Z39" s="23"/>
      <x:c r="AA39" s="23"/>
      <x:c r="AB39" s="23"/>
      <x:c r="AC39" s="34"/>
      <x:c r="AD39" s="34"/>
      <x:c r="AE39" s="34"/>
      <x:c r="AF39" s="23"/>
      <x:c r="AG39" s="23"/>
      <x:c r="AH39" s="23"/>
      <x:c r="AI39" s="23"/>
      <x:c r="AJ39" s="23" t="str">
        <x:f>IF(A39="","",IF(T39="Yes","BLOCKED - PROTECTED",IF(V39="Yes","BLOCKED - RETENTION/HOLD",IF(R39="Yes","REVIEW INTEGRATION DEPENDENCY",IF(L39&lt;&gt;"Yes","OWNER VALIDATION REQUIRED",IF(OR(S39="Critical",S39="High"),"BUSINESS RISK REVIEW REQUIRED",IF(C39="Production","PRODUCTION APPROVAL REQUIRED",IF(I39="ACTIVE","NOT ELIGIBLE - ACTIVE",IF(X39="Still Required","KEEP - OWNER CONFIRMED",IF(X39="Exception Requested","EXCEPTION PENDING","REVIEW FOR CLEANUP"))))))))))</x:f>
      </x:c>
    </x:row>
    <x:row r="40">
      <x:c r="A40" s="23"/>
      <x:c r="B40" s="23"/>
      <x:c r="C40" s="23"/>
      <x:c r="D40" s="23"/>
      <x:c r="E40" s="34"/>
      <x:c r="F40" s="34"/>
      <x:c r="G40" s="32" t="str">
        <x:f ca="1">IF(F40="","",MAX(0,TODAY()-F40))</x:f>
      </x:c>
      <x:c r="H40" s="32" t="str">
        <x:f>IF(C40="","",IFERROR(VLOOKUP(C40,'Organization Settings'!$A$4:$B$9,2,FALSE),""))</x:f>
      </x:c>
      <x:c r="I40" s="23" t="str">
        <x:f ca="1">IF(A40="","",IF(T40="Yes","PROTECTED",IF(V40="Yes","HOLD - DO NOT CLEAN",IF(OR(F40="",H40=""),"INCOMPLETE",IF(G40&gt;=H40,"REVIEW REQUIRED","ACTIVE")))))</x:f>
      </x:c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34"/>
      <x:c r="X40" s="23"/>
      <x:c r="Y40" s="34"/>
      <x:c r="Z40" s="23"/>
      <x:c r="AA40" s="23"/>
      <x:c r="AB40" s="23"/>
      <x:c r="AC40" s="34"/>
      <x:c r="AD40" s="34"/>
      <x:c r="AE40" s="34"/>
      <x:c r="AF40" s="23"/>
      <x:c r="AG40" s="23"/>
      <x:c r="AH40" s="23"/>
      <x:c r="AI40" s="23"/>
      <x:c r="AJ40" s="23" t="str">
        <x:f>IF(A40="","",IF(T40="Yes","BLOCKED - PROTECTED",IF(V40="Yes","BLOCKED - RETENTION/HOLD",IF(R40="Yes","REVIEW INTEGRATION DEPENDENCY",IF(L40&lt;&gt;"Yes","OWNER VALIDATION REQUIRED",IF(OR(S40="Critical",S40="High"),"BUSINESS RISK REVIEW REQUIRED",IF(C40="Production","PRODUCTION APPROVAL REQUIRED",IF(I40="ACTIVE","NOT ELIGIBLE - ACTIVE",IF(X40="Still Required","KEEP - OWNER CONFIRMED",IF(X40="Exception Requested","EXCEPTION PENDING","REVIEW FOR CLEANUP"))))))))))</x:f>
      </x:c>
    </x:row>
    <x:row r="41">
      <x:c r="A41" s="23"/>
      <x:c r="B41" s="23"/>
      <x:c r="C41" s="23"/>
      <x:c r="D41" s="23"/>
      <x:c r="E41" s="34"/>
      <x:c r="F41" s="34"/>
      <x:c r="G41" s="32" t="str">
        <x:f ca="1">IF(F41="","",MAX(0,TODAY()-F41))</x:f>
      </x:c>
      <x:c r="H41" s="32" t="str">
        <x:f>IF(C41="","",IFERROR(VLOOKUP(C41,'Organization Settings'!$A$4:$B$9,2,FALSE),""))</x:f>
      </x:c>
      <x:c r="I41" s="23" t="str">
        <x:f ca="1">IF(A41="","",IF(T41="Yes","PROTECTED",IF(V41="Yes","HOLD - DO NOT CLEAN",IF(OR(F41="",H41=""),"INCOMPLETE",IF(G41&gt;=H41,"REVIEW REQUIRED","ACTIVE")))))</x:f>
      </x:c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34"/>
      <x:c r="X41" s="23"/>
      <x:c r="Y41" s="34"/>
      <x:c r="Z41" s="23"/>
      <x:c r="AA41" s="23"/>
      <x:c r="AB41" s="23"/>
      <x:c r="AC41" s="34"/>
      <x:c r="AD41" s="34"/>
      <x:c r="AE41" s="34"/>
      <x:c r="AF41" s="23"/>
      <x:c r="AG41" s="23"/>
      <x:c r="AH41" s="23"/>
      <x:c r="AI41" s="23"/>
      <x:c r="AJ41" s="23" t="str">
        <x:f>IF(A41="","",IF(T41="Yes","BLOCKED - PROTECTED",IF(V41="Yes","BLOCKED - RETENTION/HOLD",IF(R41="Yes","REVIEW INTEGRATION DEPENDENCY",IF(L41&lt;&gt;"Yes","OWNER VALIDATION REQUIRED",IF(OR(S41="Critical",S41="High"),"BUSINESS RISK REVIEW REQUIRED",IF(C41="Production","PRODUCTION APPROVAL REQUIRED",IF(I41="ACTIVE","NOT ELIGIBLE - ACTIVE",IF(X41="Still Required","KEEP - OWNER CONFIRMED",IF(X41="Exception Requested","EXCEPTION PENDING","REVIEW FOR CLEANUP"))))))))))</x:f>
      </x:c>
    </x:row>
    <x:row r="42">
      <x:c r="A42" s="23"/>
      <x:c r="B42" s="23"/>
      <x:c r="C42" s="23"/>
      <x:c r="D42" s="23"/>
      <x:c r="E42" s="34"/>
      <x:c r="F42" s="34"/>
      <x:c r="G42" s="32" t="str">
        <x:f ca="1">IF(F42="","",MAX(0,TODAY()-F42))</x:f>
      </x:c>
      <x:c r="H42" s="32" t="str">
        <x:f>IF(C42="","",IFERROR(VLOOKUP(C42,'Organization Settings'!$A$4:$B$9,2,FALSE),""))</x:f>
      </x:c>
      <x:c r="I42" s="23" t="str">
        <x:f ca="1">IF(A42="","",IF(T42="Yes","PROTECTED",IF(V42="Yes","HOLD - DO NOT CLEAN",IF(OR(F42="",H42=""),"INCOMPLETE",IF(G42&gt;=H42,"REVIEW REQUIRED","ACTIVE")))))</x:f>
      </x:c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34"/>
      <x:c r="X42" s="23"/>
      <x:c r="Y42" s="34"/>
      <x:c r="Z42" s="23"/>
      <x:c r="AA42" s="23"/>
      <x:c r="AB42" s="23"/>
      <x:c r="AC42" s="34"/>
      <x:c r="AD42" s="34"/>
      <x:c r="AE42" s="34"/>
      <x:c r="AF42" s="23"/>
      <x:c r="AG42" s="23"/>
      <x:c r="AH42" s="23"/>
      <x:c r="AI42" s="23"/>
      <x:c r="AJ42" s="23" t="str">
        <x:f>IF(A42="","",IF(T42="Yes","BLOCKED - PROTECTED",IF(V42="Yes","BLOCKED - RETENTION/HOLD",IF(R42="Yes","REVIEW INTEGRATION DEPENDENCY",IF(L42&lt;&gt;"Yes","OWNER VALIDATION REQUIRED",IF(OR(S42="Critical",S42="High"),"BUSINESS RISK REVIEW REQUIRED",IF(C42="Production","PRODUCTION APPROVAL REQUIRED",IF(I42="ACTIVE","NOT ELIGIBLE - ACTIVE",IF(X42="Still Required","KEEP - OWNER CONFIRMED",IF(X42="Exception Requested","EXCEPTION PENDING","REVIEW FOR CLEANUP"))))))))))</x:f>
      </x:c>
    </x:row>
    <x:row r="43">
      <x:c r="A43" s="23"/>
      <x:c r="B43" s="23"/>
      <x:c r="C43" s="23"/>
      <x:c r="D43" s="23"/>
      <x:c r="E43" s="34"/>
      <x:c r="F43" s="34"/>
      <x:c r="G43" s="32" t="str">
        <x:f ca="1">IF(F43="","",MAX(0,TODAY()-F43))</x:f>
      </x:c>
      <x:c r="H43" s="32" t="str">
        <x:f>IF(C43="","",IFERROR(VLOOKUP(C43,'Organization Settings'!$A$4:$B$9,2,FALSE),""))</x:f>
      </x:c>
      <x:c r="I43" s="23" t="str">
        <x:f ca="1">IF(A43="","",IF(T43="Yes","PROTECTED",IF(V43="Yes","HOLD - DO NOT CLEAN",IF(OR(F43="",H43=""),"INCOMPLETE",IF(G43&gt;=H43,"REVIEW REQUIRED","ACTIVE")))))</x:f>
      </x:c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34"/>
      <x:c r="X43" s="23"/>
      <x:c r="Y43" s="34"/>
      <x:c r="Z43" s="23"/>
      <x:c r="AA43" s="23"/>
      <x:c r="AB43" s="23"/>
      <x:c r="AC43" s="34"/>
      <x:c r="AD43" s="34"/>
      <x:c r="AE43" s="34"/>
      <x:c r="AF43" s="23"/>
      <x:c r="AG43" s="23"/>
      <x:c r="AH43" s="23"/>
      <x:c r="AI43" s="23"/>
      <x:c r="AJ43" s="23" t="str">
        <x:f>IF(A43="","",IF(T43="Yes","BLOCKED - PROTECTED",IF(V43="Yes","BLOCKED - RETENTION/HOLD",IF(R43="Yes","REVIEW INTEGRATION DEPENDENCY",IF(L43&lt;&gt;"Yes","OWNER VALIDATION REQUIRED",IF(OR(S43="Critical",S43="High"),"BUSINESS RISK REVIEW REQUIRED",IF(C43="Production","PRODUCTION APPROVAL REQUIRED",IF(I43="ACTIVE","NOT ELIGIBLE - ACTIVE",IF(X43="Still Required","KEEP - OWNER CONFIRMED",IF(X43="Exception Requested","EXCEPTION PENDING","REVIEW FOR CLEANUP"))))))))))</x:f>
      </x:c>
    </x:row>
    <x:row r="44">
      <x:c r="A44" s="23"/>
      <x:c r="B44" s="23"/>
      <x:c r="C44" s="23"/>
      <x:c r="D44" s="23"/>
      <x:c r="E44" s="34"/>
      <x:c r="F44" s="34"/>
      <x:c r="G44" s="32" t="str">
        <x:f ca="1">IF(F44="","",MAX(0,TODAY()-F44))</x:f>
      </x:c>
      <x:c r="H44" s="32" t="str">
        <x:f>IF(C44="","",IFERROR(VLOOKUP(C44,'Organization Settings'!$A$4:$B$9,2,FALSE),""))</x:f>
      </x:c>
      <x:c r="I44" s="23" t="str">
        <x:f ca="1">IF(A44="","",IF(T44="Yes","PROTECTED",IF(V44="Yes","HOLD - DO NOT CLEAN",IF(OR(F44="",H44=""),"INCOMPLETE",IF(G44&gt;=H44,"REVIEW REQUIRED","ACTIVE")))))</x:f>
      </x:c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34"/>
      <x:c r="X44" s="23"/>
      <x:c r="Y44" s="34"/>
      <x:c r="Z44" s="23"/>
      <x:c r="AA44" s="23"/>
      <x:c r="AB44" s="23"/>
      <x:c r="AC44" s="34"/>
      <x:c r="AD44" s="34"/>
      <x:c r="AE44" s="34"/>
      <x:c r="AF44" s="23"/>
      <x:c r="AG44" s="23"/>
      <x:c r="AH44" s="23"/>
      <x:c r="AI44" s="23"/>
      <x:c r="AJ44" s="23" t="str">
        <x:f>IF(A44="","",IF(T44="Yes","BLOCKED - PROTECTED",IF(V44="Yes","BLOCKED - RETENTION/HOLD",IF(R44="Yes","REVIEW INTEGRATION DEPENDENCY",IF(L44&lt;&gt;"Yes","OWNER VALIDATION REQUIRED",IF(OR(S44="Critical",S44="High"),"BUSINESS RISK REVIEW REQUIRED",IF(C44="Production","PRODUCTION APPROVAL REQUIRED",IF(I44="ACTIVE","NOT ELIGIBLE - ACTIVE",IF(X44="Still Required","KEEP - OWNER CONFIRMED",IF(X44="Exception Requested","EXCEPTION PENDING","REVIEW FOR CLEANUP"))))))))))</x:f>
      </x:c>
    </x:row>
    <x:row r="45">
      <x:c r="A45" s="23"/>
      <x:c r="B45" s="23"/>
      <x:c r="C45" s="23"/>
      <x:c r="D45" s="23"/>
      <x:c r="E45" s="34"/>
      <x:c r="F45" s="34"/>
      <x:c r="G45" s="32" t="str">
        <x:f ca="1">IF(F45="","",MAX(0,TODAY()-F45))</x:f>
      </x:c>
      <x:c r="H45" s="32" t="str">
        <x:f>IF(C45="","",IFERROR(VLOOKUP(C45,'Organization Settings'!$A$4:$B$9,2,FALSE),""))</x:f>
      </x:c>
      <x:c r="I45" s="23" t="str">
        <x:f ca="1">IF(A45="","",IF(T45="Yes","PROTECTED",IF(V45="Yes","HOLD - DO NOT CLEAN",IF(OR(F45="",H45=""),"INCOMPLETE",IF(G45&gt;=H45,"REVIEW REQUIRED","ACTIVE")))))</x:f>
      </x:c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34"/>
      <x:c r="X45" s="23"/>
      <x:c r="Y45" s="34"/>
      <x:c r="Z45" s="23"/>
      <x:c r="AA45" s="23"/>
      <x:c r="AB45" s="23"/>
      <x:c r="AC45" s="34"/>
      <x:c r="AD45" s="34"/>
      <x:c r="AE45" s="34"/>
      <x:c r="AF45" s="23"/>
      <x:c r="AG45" s="23"/>
      <x:c r="AH45" s="23"/>
      <x:c r="AI45" s="23"/>
      <x:c r="AJ45" s="23" t="str">
        <x:f>IF(A45="","",IF(T45="Yes","BLOCKED - PROTECTED",IF(V45="Yes","BLOCKED - RETENTION/HOLD",IF(R45="Yes","REVIEW INTEGRATION DEPENDENCY",IF(L45&lt;&gt;"Yes","OWNER VALIDATION REQUIRED",IF(OR(S45="Critical",S45="High"),"BUSINESS RISK REVIEW REQUIRED",IF(C45="Production","PRODUCTION APPROVAL REQUIRED",IF(I45="ACTIVE","NOT ELIGIBLE - ACTIVE",IF(X45="Still Required","KEEP - OWNER CONFIRMED",IF(X45="Exception Requested","EXCEPTION PENDING","REVIEW FOR CLEANUP"))))))))))</x:f>
      </x:c>
    </x:row>
    <x:row r="46">
      <x:c r="A46" s="23"/>
      <x:c r="B46" s="23"/>
      <x:c r="C46" s="23"/>
      <x:c r="D46" s="23"/>
      <x:c r="E46" s="34"/>
      <x:c r="F46" s="34"/>
      <x:c r="G46" s="32" t="str">
        <x:f ca="1">IF(F46="","",MAX(0,TODAY()-F46))</x:f>
      </x:c>
      <x:c r="H46" s="32" t="str">
        <x:f>IF(C46="","",IFERROR(VLOOKUP(C46,'Organization Settings'!$A$4:$B$9,2,FALSE),""))</x:f>
      </x:c>
      <x:c r="I46" s="23" t="str">
        <x:f ca="1">IF(A46="","",IF(T46="Yes","PROTECTED",IF(V46="Yes","HOLD - DO NOT CLEAN",IF(OR(F46="",H46=""),"INCOMPLETE",IF(G46&gt;=H46,"REVIEW REQUIRED","ACTIVE")))))</x:f>
      </x:c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34"/>
      <x:c r="X46" s="23"/>
      <x:c r="Y46" s="34"/>
      <x:c r="Z46" s="23"/>
      <x:c r="AA46" s="23"/>
      <x:c r="AB46" s="23"/>
      <x:c r="AC46" s="34"/>
      <x:c r="AD46" s="34"/>
      <x:c r="AE46" s="34"/>
      <x:c r="AF46" s="23"/>
      <x:c r="AG46" s="23"/>
      <x:c r="AH46" s="23"/>
      <x:c r="AI46" s="23"/>
      <x:c r="AJ46" s="23" t="str">
        <x:f>IF(A46="","",IF(T46="Yes","BLOCKED - PROTECTED",IF(V46="Yes","BLOCKED - RETENTION/HOLD",IF(R46="Yes","REVIEW INTEGRATION DEPENDENCY",IF(L46&lt;&gt;"Yes","OWNER VALIDATION REQUIRED",IF(OR(S46="Critical",S46="High"),"BUSINESS RISK REVIEW REQUIRED",IF(C46="Production","PRODUCTION APPROVAL REQUIRED",IF(I46="ACTIVE","NOT ELIGIBLE - ACTIVE",IF(X46="Still Required","KEEP - OWNER CONFIRMED",IF(X46="Exception Requested","EXCEPTION PENDING","REVIEW FOR CLEANUP"))))))))))</x:f>
      </x:c>
    </x:row>
    <x:row r="47">
      <x:c r="A47" s="23"/>
      <x:c r="B47" s="23"/>
      <x:c r="C47" s="23"/>
      <x:c r="D47" s="23"/>
      <x:c r="E47" s="34"/>
      <x:c r="F47" s="34"/>
      <x:c r="G47" s="32" t="str">
        <x:f ca="1">IF(F47="","",MAX(0,TODAY()-F47))</x:f>
      </x:c>
      <x:c r="H47" s="32" t="str">
        <x:f>IF(C47="","",IFERROR(VLOOKUP(C47,'Organization Settings'!$A$4:$B$9,2,FALSE),""))</x:f>
      </x:c>
      <x:c r="I47" s="23" t="str">
        <x:f ca="1">IF(A47="","",IF(T47="Yes","PROTECTED",IF(V47="Yes","HOLD - DO NOT CLEAN",IF(OR(F47="",H47=""),"INCOMPLETE",IF(G47&gt;=H47,"REVIEW REQUIRED","ACTIVE")))))</x:f>
      </x:c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34"/>
      <x:c r="X47" s="23"/>
      <x:c r="Y47" s="34"/>
      <x:c r="Z47" s="23"/>
      <x:c r="AA47" s="23"/>
      <x:c r="AB47" s="23"/>
      <x:c r="AC47" s="34"/>
      <x:c r="AD47" s="34"/>
      <x:c r="AE47" s="34"/>
      <x:c r="AF47" s="23"/>
      <x:c r="AG47" s="23"/>
      <x:c r="AH47" s="23"/>
      <x:c r="AI47" s="23"/>
      <x:c r="AJ47" s="23" t="str">
        <x:f>IF(A47="","",IF(T47="Yes","BLOCKED - PROTECTED",IF(V47="Yes","BLOCKED - RETENTION/HOLD",IF(R47="Yes","REVIEW INTEGRATION DEPENDENCY",IF(L47&lt;&gt;"Yes","OWNER VALIDATION REQUIRED",IF(OR(S47="Critical",S47="High"),"BUSINESS RISK REVIEW REQUIRED",IF(C47="Production","PRODUCTION APPROVAL REQUIRED",IF(I47="ACTIVE","NOT ELIGIBLE - ACTIVE",IF(X47="Still Required","KEEP - OWNER CONFIRMED",IF(X47="Exception Requested","EXCEPTION PENDING","REVIEW FOR CLEANUP"))))))))))</x:f>
      </x:c>
    </x:row>
    <x:row r="48">
      <x:c r="A48" s="23"/>
      <x:c r="B48" s="23"/>
      <x:c r="C48" s="23"/>
      <x:c r="D48" s="23"/>
      <x:c r="E48" s="34"/>
      <x:c r="F48" s="34"/>
      <x:c r="G48" s="32" t="str">
        <x:f ca="1">IF(F48="","",MAX(0,TODAY()-F48))</x:f>
      </x:c>
      <x:c r="H48" s="32" t="str">
        <x:f>IF(C48="","",IFERROR(VLOOKUP(C48,'Organization Settings'!$A$4:$B$9,2,FALSE),""))</x:f>
      </x:c>
      <x:c r="I48" s="23" t="str">
        <x:f ca="1">IF(A48="","",IF(T48="Yes","PROTECTED",IF(V48="Yes","HOLD - DO NOT CLEAN",IF(OR(F48="",H48=""),"INCOMPLETE",IF(G48&gt;=H48,"REVIEW REQUIRED","ACTIVE")))))</x:f>
      </x:c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34"/>
      <x:c r="X48" s="23"/>
      <x:c r="Y48" s="34"/>
      <x:c r="Z48" s="23"/>
      <x:c r="AA48" s="23"/>
      <x:c r="AB48" s="23"/>
      <x:c r="AC48" s="34"/>
      <x:c r="AD48" s="34"/>
      <x:c r="AE48" s="34"/>
      <x:c r="AF48" s="23"/>
      <x:c r="AG48" s="23"/>
      <x:c r="AH48" s="23"/>
      <x:c r="AI48" s="23"/>
      <x:c r="AJ48" s="23" t="str">
        <x:f>IF(A48="","",IF(T48="Yes","BLOCKED - PROTECTED",IF(V48="Yes","BLOCKED - RETENTION/HOLD",IF(R48="Yes","REVIEW INTEGRATION DEPENDENCY",IF(L48&lt;&gt;"Yes","OWNER VALIDATION REQUIRED",IF(OR(S48="Critical",S48="High"),"BUSINESS RISK REVIEW REQUIRED",IF(C48="Production","PRODUCTION APPROVAL REQUIRED",IF(I48="ACTIVE","NOT ELIGIBLE - ACTIVE",IF(X48="Still Required","KEEP - OWNER CONFIRMED",IF(X48="Exception Requested","EXCEPTION PENDING","REVIEW FOR CLEANUP"))))))))))</x:f>
      </x:c>
    </x:row>
    <x:row r="49">
      <x:c r="A49" s="23"/>
      <x:c r="B49" s="23"/>
      <x:c r="C49" s="23"/>
      <x:c r="D49" s="23"/>
      <x:c r="E49" s="34"/>
      <x:c r="F49" s="34"/>
      <x:c r="G49" s="32" t="str">
        <x:f ca="1">IF(F49="","",MAX(0,TODAY()-F49))</x:f>
      </x:c>
      <x:c r="H49" s="32" t="str">
        <x:f>IF(C49="","",IFERROR(VLOOKUP(C49,'Organization Settings'!$A$4:$B$9,2,FALSE),""))</x:f>
      </x:c>
      <x:c r="I49" s="23" t="str">
        <x:f ca="1">IF(A49="","",IF(T49="Yes","PROTECTED",IF(V49="Yes","HOLD - DO NOT CLEAN",IF(OR(F49="",H49=""),"INCOMPLETE",IF(G49&gt;=H49,"REVIEW REQUIRED","ACTIVE")))))</x:f>
      </x:c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34"/>
      <x:c r="X49" s="23"/>
      <x:c r="Y49" s="34"/>
      <x:c r="Z49" s="23"/>
      <x:c r="AA49" s="23"/>
      <x:c r="AB49" s="23"/>
      <x:c r="AC49" s="34"/>
      <x:c r="AD49" s="34"/>
      <x:c r="AE49" s="34"/>
      <x:c r="AF49" s="23"/>
      <x:c r="AG49" s="23"/>
      <x:c r="AH49" s="23"/>
      <x:c r="AI49" s="23"/>
      <x:c r="AJ49" s="23" t="str">
        <x:f>IF(A49="","",IF(T49="Yes","BLOCKED - PROTECTED",IF(V49="Yes","BLOCKED - RETENTION/HOLD",IF(R49="Yes","REVIEW INTEGRATION DEPENDENCY",IF(L49&lt;&gt;"Yes","OWNER VALIDATION REQUIRED",IF(OR(S49="Critical",S49="High"),"BUSINESS RISK REVIEW REQUIRED",IF(C49="Production","PRODUCTION APPROVAL REQUIRED",IF(I49="ACTIVE","NOT ELIGIBLE - ACTIVE",IF(X49="Still Required","KEEP - OWNER CONFIRMED",IF(X49="Exception Requested","EXCEPTION PENDING","REVIEW FOR CLEANUP"))))))))))</x:f>
      </x:c>
    </x:row>
    <x:row r="50">
      <x:c r="A50" s="23"/>
      <x:c r="B50" s="23"/>
      <x:c r="C50" s="23"/>
      <x:c r="D50" s="23"/>
      <x:c r="E50" s="34"/>
      <x:c r="F50" s="34"/>
      <x:c r="G50" s="32" t="str">
        <x:f ca="1">IF(F50="","",MAX(0,TODAY()-F50))</x:f>
      </x:c>
      <x:c r="H50" s="32" t="str">
        <x:f>IF(C50="","",IFERROR(VLOOKUP(C50,'Organization Settings'!$A$4:$B$9,2,FALSE),""))</x:f>
      </x:c>
      <x:c r="I50" s="23" t="str">
        <x:f ca="1">IF(A50="","",IF(T50="Yes","PROTECTED",IF(V50="Yes","HOLD - DO NOT CLEAN",IF(OR(F50="",H50=""),"INCOMPLETE",IF(G50&gt;=H50,"REVIEW REQUIRED","ACTIVE")))))</x:f>
      </x:c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34"/>
      <x:c r="X50" s="23"/>
      <x:c r="Y50" s="34"/>
      <x:c r="Z50" s="23"/>
      <x:c r="AA50" s="23"/>
      <x:c r="AB50" s="23"/>
      <x:c r="AC50" s="34"/>
      <x:c r="AD50" s="34"/>
      <x:c r="AE50" s="34"/>
      <x:c r="AF50" s="23"/>
      <x:c r="AG50" s="23"/>
      <x:c r="AH50" s="23"/>
      <x:c r="AI50" s="23"/>
      <x:c r="AJ50" s="23" t="str">
        <x:f>IF(A50="","",IF(T50="Yes","BLOCKED - PROTECTED",IF(V50="Yes","BLOCKED - RETENTION/HOLD",IF(R50="Yes","REVIEW INTEGRATION DEPENDENCY",IF(L50&lt;&gt;"Yes","OWNER VALIDATION REQUIRED",IF(OR(S50="Critical",S50="High"),"BUSINESS RISK REVIEW REQUIRED",IF(C50="Production","PRODUCTION APPROVAL REQUIRED",IF(I50="ACTIVE","NOT ELIGIBLE - ACTIVE",IF(X50="Still Required","KEEP - OWNER CONFIRMED",IF(X50="Exception Requested","EXCEPTION PENDING","REVIEW FOR CLEANUP"))))))))))</x:f>
      </x:c>
    </x:row>
    <x:row r="51">
      <x:c r="A51" s="23"/>
      <x:c r="B51" s="23"/>
      <x:c r="C51" s="23"/>
      <x:c r="D51" s="23"/>
      <x:c r="E51" s="34"/>
      <x:c r="F51" s="34"/>
      <x:c r="G51" s="32" t="str">
        <x:f ca="1">IF(F51="","",MAX(0,TODAY()-F51))</x:f>
      </x:c>
      <x:c r="H51" s="32" t="str">
        <x:f>IF(C51="","",IFERROR(VLOOKUP(C51,'Organization Settings'!$A$4:$B$9,2,FALSE),""))</x:f>
      </x:c>
      <x:c r="I51" s="23" t="str">
        <x:f ca="1">IF(A51="","",IF(T51="Yes","PROTECTED",IF(V51="Yes","HOLD - DO NOT CLEAN",IF(OR(F51="",H51=""),"INCOMPLETE",IF(G51&gt;=H51,"REVIEW REQUIRED","ACTIVE")))))</x:f>
      </x:c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34"/>
      <x:c r="X51" s="23"/>
      <x:c r="Y51" s="34"/>
      <x:c r="Z51" s="23"/>
      <x:c r="AA51" s="23"/>
      <x:c r="AB51" s="23"/>
      <x:c r="AC51" s="34"/>
      <x:c r="AD51" s="34"/>
      <x:c r="AE51" s="34"/>
      <x:c r="AF51" s="23"/>
      <x:c r="AG51" s="23"/>
      <x:c r="AH51" s="23"/>
      <x:c r="AI51" s="23"/>
      <x:c r="AJ51" s="23" t="str">
        <x:f>IF(A51="","",IF(T51="Yes","BLOCKED - PROTECTED",IF(V51="Yes","BLOCKED - RETENTION/HOLD",IF(R51="Yes","REVIEW INTEGRATION DEPENDENCY",IF(L51&lt;&gt;"Yes","OWNER VALIDATION REQUIRED",IF(OR(S51="Critical",S51="High"),"BUSINESS RISK REVIEW REQUIRED",IF(C51="Production","PRODUCTION APPROVAL REQUIRED",IF(I51="ACTIVE","NOT ELIGIBLE - ACTIVE",IF(X51="Still Required","KEEP - OWNER CONFIRMED",IF(X51="Exception Requested","EXCEPTION PENDING","REVIEW FOR CLEANUP"))))))))))</x:f>
      </x:c>
    </x:row>
    <x:row r="52">
      <x:c r="A52" s="23"/>
      <x:c r="B52" s="23"/>
      <x:c r="C52" s="23"/>
      <x:c r="D52" s="23"/>
      <x:c r="E52" s="34"/>
      <x:c r="F52" s="34"/>
      <x:c r="G52" s="32" t="str">
        <x:f ca="1">IF(F52="","",MAX(0,TODAY()-F52))</x:f>
      </x:c>
      <x:c r="H52" s="32" t="str">
        <x:f>IF(C52="","",IFERROR(VLOOKUP(C52,'Organization Settings'!$A$4:$B$9,2,FALSE),""))</x:f>
      </x:c>
      <x:c r="I52" s="23" t="str">
        <x:f ca="1">IF(A52="","",IF(T52="Yes","PROTECTED",IF(V52="Yes","HOLD - DO NOT CLEAN",IF(OR(F52="",H52=""),"INCOMPLETE",IF(G52&gt;=H52,"REVIEW REQUIRED","ACTIVE")))))</x:f>
      </x:c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34"/>
      <x:c r="X52" s="23"/>
      <x:c r="Y52" s="34"/>
      <x:c r="Z52" s="23"/>
      <x:c r="AA52" s="23"/>
      <x:c r="AB52" s="23"/>
      <x:c r="AC52" s="34"/>
      <x:c r="AD52" s="34"/>
      <x:c r="AE52" s="34"/>
      <x:c r="AF52" s="23"/>
      <x:c r="AG52" s="23"/>
      <x:c r="AH52" s="23"/>
      <x:c r="AI52" s="23"/>
      <x:c r="AJ52" s="23" t="str">
        <x:f>IF(A52="","",IF(T52="Yes","BLOCKED - PROTECTED",IF(V52="Yes","BLOCKED - RETENTION/HOLD",IF(R52="Yes","REVIEW INTEGRATION DEPENDENCY",IF(L52&lt;&gt;"Yes","OWNER VALIDATION REQUIRED",IF(OR(S52="Critical",S52="High"),"BUSINESS RISK REVIEW REQUIRED",IF(C52="Production","PRODUCTION APPROVAL REQUIRED",IF(I52="ACTIVE","NOT ELIGIBLE - ACTIVE",IF(X52="Still Required","KEEP - OWNER CONFIRMED",IF(X52="Exception Requested","EXCEPTION PENDING","REVIEW FOR CLEANUP"))))))))))</x:f>
      </x:c>
    </x:row>
    <x:row r="53">
      <x:c r="A53" s="23"/>
      <x:c r="B53" s="23"/>
      <x:c r="C53" s="23"/>
      <x:c r="D53" s="23"/>
      <x:c r="E53" s="34"/>
      <x:c r="F53" s="34"/>
      <x:c r="G53" s="32" t="str">
        <x:f ca="1">IF(F53="","",MAX(0,TODAY()-F53))</x:f>
      </x:c>
      <x:c r="H53" s="32" t="str">
        <x:f>IF(C53="","",IFERROR(VLOOKUP(C53,'Organization Settings'!$A$4:$B$9,2,FALSE),""))</x:f>
      </x:c>
      <x:c r="I53" s="23" t="str">
        <x:f ca="1">IF(A53="","",IF(T53="Yes","PROTECTED",IF(V53="Yes","HOLD - DO NOT CLEAN",IF(OR(F53="",H53=""),"INCOMPLETE",IF(G53&gt;=H53,"REVIEW REQUIRED","ACTIVE")))))</x:f>
      </x:c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34"/>
      <x:c r="X53" s="23"/>
      <x:c r="Y53" s="34"/>
      <x:c r="Z53" s="23"/>
      <x:c r="AA53" s="23"/>
      <x:c r="AB53" s="23"/>
      <x:c r="AC53" s="34"/>
      <x:c r="AD53" s="34"/>
      <x:c r="AE53" s="34"/>
      <x:c r="AF53" s="23"/>
      <x:c r="AG53" s="23"/>
      <x:c r="AH53" s="23"/>
      <x:c r="AI53" s="23"/>
      <x:c r="AJ53" s="23" t="str">
        <x:f>IF(A53="","",IF(T53="Yes","BLOCKED - PROTECTED",IF(V53="Yes","BLOCKED - RETENTION/HOLD",IF(R53="Yes","REVIEW INTEGRATION DEPENDENCY",IF(L53&lt;&gt;"Yes","OWNER VALIDATION REQUIRED",IF(OR(S53="Critical",S53="High"),"BUSINESS RISK REVIEW REQUIRED",IF(C53="Production","PRODUCTION APPROVAL REQUIRED",IF(I53="ACTIVE","NOT ELIGIBLE - ACTIVE",IF(X53="Still Required","KEEP - OWNER CONFIRMED",IF(X53="Exception Requested","EXCEPTION PENDING","REVIEW FOR CLEANUP"))))))))))</x:f>
      </x:c>
    </x:row>
    <x:row r="54">
      <x:c r="A54" s="23"/>
      <x:c r="B54" s="23"/>
      <x:c r="C54" s="23"/>
      <x:c r="D54" s="23"/>
      <x:c r="E54" s="34"/>
      <x:c r="F54" s="34"/>
      <x:c r="G54" s="32" t="str">
        <x:f ca="1">IF(F54="","",MAX(0,TODAY()-F54))</x:f>
      </x:c>
      <x:c r="H54" s="32" t="str">
        <x:f>IF(C54="","",IFERROR(VLOOKUP(C54,'Organization Settings'!$A$4:$B$9,2,FALSE),""))</x:f>
      </x:c>
      <x:c r="I54" s="23" t="str">
        <x:f ca="1">IF(A54="","",IF(T54="Yes","PROTECTED",IF(V54="Yes","HOLD - DO NOT CLEAN",IF(OR(F54="",H54=""),"INCOMPLETE",IF(G54&gt;=H54,"REVIEW REQUIRED","ACTIVE")))))</x:f>
      </x:c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34"/>
      <x:c r="X54" s="23"/>
      <x:c r="Y54" s="34"/>
      <x:c r="Z54" s="23"/>
      <x:c r="AA54" s="23"/>
      <x:c r="AB54" s="23"/>
      <x:c r="AC54" s="34"/>
      <x:c r="AD54" s="34"/>
      <x:c r="AE54" s="34"/>
      <x:c r="AF54" s="23"/>
      <x:c r="AG54" s="23"/>
      <x:c r="AH54" s="23"/>
      <x:c r="AI54" s="23"/>
      <x:c r="AJ54" s="23" t="str">
        <x:f>IF(A54="","",IF(T54="Yes","BLOCKED - PROTECTED",IF(V54="Yes","BLOCKED - RETENTION/HOLD",IF(R54="Yes","REVIEW INTEGRATION DEPENDENCY",IF(L54&lt;&gt;"Yes","OWNER VALIDATION REQUIRED",IF(OR(S54="Critical",S54="High"),"BUSINESS RISK REVIEW REQUIRED",IF(C54="Production","PRODUCTION APPROVAL REQUIRED",IF(I54="ACTIVE","NOT ELIGIBLE - ACTIVE",IF(X54="Still Required","KEEP - OWNER CONFIRMED",IF(X54="Exception Requested","EXCEPTION PENDING","REVIEW FOR CLEANUP"))))))))))</x:f>
      </x:c>
    </x:row>
    <x:row r="55">
      <x:c r="A55" s="23"/>
      <x:c r="B55" s="23"/>
      <x:c r="C55" s="23"/>
      <x:c r="D55" s="23"/>
      <x:c r="E55" s="34"/>
      <x:c r="F55" s="34"/>
      <x:c r="G55" s="32" t="str">
        <x:f ca="1">IF(F55="","",MAX(0,TODAY()-F55))</x:f>
      </x:c>
      <x:c r="H55" s="32" t="str">
        <x:f>IF(C55="","",IFERROR(VLOOKUP(C55,'Organization Settings'!$A$4:$B$9,2,FALSE),""))</x:f>
      </x:c>
      <x:c r="I55" s="23" t="str">
        <x:f ca="1">IF(A55="","",IF(T55="Yes","PROTECTED",IF(V55="Yes","HOLD - DO NOT CLEAN",IF(OR(F55="",H55=""),"INCOMPLETE",IF(G55&gt;=H55,"REVIEW REQUIRED","ACTIVE")))))</x:f>
      </x:c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34"/>
      <x:c r="X55" s="23"/>
      <x:c r="Y55" s="34"/>
      <x:c r="Z55" s="23"/>
      <x:c r="AA55" s="23"/>
      <x:c r="AB55" s="23"/>
      <x:c r="AC55" s="34"/>
      <x:c r="AD55" s="34"/>
      <x:c r="AE55" s="34"/>
      <x:c r="AF55" s="23"/>
      <x:c r="AG55" s="23"/>
      <x:c r="AH55" s="23"/>
      <x:c r="AI55" s="23"/>
      <x:c r="AJ55" s="23" t="str">
        <x:f>IF(A55="","",IF(T55="Yes","BLOCKED - PROTECTED",IF(V55="Yes","BLOCKED - RETENTION/HOLD",IF(R55="Yes","REVIEW INTEGRATION DEPENDENCY",IF(L55&lt;&gt;"Yes","OWNER VALIDATION REQUIRED",IF(OR(S55="Critical",S55="High"),"BUSINESS RISK REVIEW REQUIRED",IF(C55="Production","PRODUCTION APPROVAL REQUIRED",IF(I55="ACTIVE","NOT ELIGIBLE - ACTIVE",IF(X55="Still Required","KEEP - OWNER CONFIRMED",IF(X55="Exception Requested","EXCEPTION PENDING","REVIEW FOR CLEANUP"))))))))))</x:f>
      </x:c>
    </x:row>
    <x:row r="56">
      <x:c r="A56" s="23"/>
      <x:c r="B56" s="23"/>
      <x:c r="C56" s="23"/>
      <x:c r="D56" s="23"/>
      <x:c r="E56" s="34"/>
      <x:c r="F56" s="34"/>
      <x:c r="G56" s="32" t="str">
        <x:f ca="1">IF(F56="","",MAX(0,TODAY()-F56))</x:f>
      </x:c>
      <x:c r="H56" s="32" t="str">
        <x:f>IF(C56="","",IFERROR(VLOOKUP(C56,'Organization Settings'!$A$4:$B$9,2,FALSE),""))</x:f>
      </x:c>
      <x:c r="I56" s="23" t="str">
        <x:f ca="1">IF(A56="","",IF(T56="Yes","PROTECTED",IF(V56="Yes","HOLD - DO NOT CLEAN",IF(OR(F56="",H56=""),"INCOMPLETE",IF(G56&gt;=H56,"REVIEW REQUIRED","ACTIVE")))))</x:f>
      </x:c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34"/>
      <x:c r="X56" s="23"/>
      <x:c r="Y56" s="34"/>
      <x:c r="Z56" s="23"/>
      <x:c r="AA56" s="23"/>
      <x:c r="AB56" s="23"/>
      <x:c r="AC56" s="34"/>
      <x:c r="AD56" s="34"/>
      <x:c r="AE56" s="34"/>
      <x:c r="AF56" s="23"/>
      <x:c r="AG56" s="23"/>
      <x:c r="AH56" s="23"/>
      <x:c r="AI56" s="23"/>
      <x:c r="AJ56" s="23" t="str">
        <x:f>IF(A56="","",IF(T56="Yes","BLOCKED - PROTECTED",IF(V56="Yes","BLOCKED - RETENTION/HOLD",IF(R56="Yes","REVIEW INTEGRATION DEPENDENCY",IF(L56&lt;&gt;"Yes","OWNER VALIDATION REQUIRED",IF(OR(S56="Critical",S56="High"),"BUSINESS RISK REVIEW REQUIRED",IF(C56="Production","PRODUCTION APPROVAL REQUIRED",IF(I56="ACTIVE","NOT ELIGIBLE - ACTIVE",IF(X56="Still Required","KEEP - OWNER CONFIRMED",IF(X56="Exception Requested","EXCEPTION PENDING","REVIEW FOR CLEANUP"))))))))))</x:f>
      </x:c>
    </x:row>
    <x:row r="57">
      <x:c r="A57" s="23"/>
      <x:c r="B57" s="23"/>
      <x:c r="C57" s="23"/>
      <x:c r="D57" s="23"/>
      <x:c r="E57" s="34"/>
      <x:c r="F57" s="34"/>
      <x:c r="G57" s="32" t="str">
        <x:f ca="1">IF(F57="","",MAX(0,TODAY()-F57))</x:f>
      </x:c>
      <x:c r="H57" s="32" t="str">
        <x:f>IF(C57="","",IFERROR(VLOOKUP(C57,'Organization Settings'!$A$4:$B$9,2,FALSE),""))</x:f>
      </x:c>
      <x:c r="I57" s="23" t="str">
        <x:f ca="1">IF(A57="","",IF(T57="Yes","PROTECTED",IF(V57="Yes","HOLD - DO NOT CLEAN",IF(OR(F57="",H57=""),"INCOMPLETE",IF(G57&gt;=H57,"REVIEW REQUIRED","ACTIVE")))))</x:f>
      </x:c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34"/>
      <x:c r="X57" s="23"/>
      <x:c r="Y57" s="34"/>
      <x:c r="Z57" s="23"/>
      <x:c r="AA57" s="23"/>
      <x:c r="AB57" s="23"/>
      <x:c r="AC57" s="34"/>
      <x:c r="AD57" s="34"/>
      <x:c r="AE57" s="34"/>
      <x:c r="AF57" s="23"/>
      <x:c r="AG57" s="23"/>
      <x:c r="AH57" s="23"/>
      <x:c r="AI57" s="23"/>
      <x:c r="AJ57" s="23" t="str">
        <x:f>IF(A57="","",IF(T57="Yes","BLOCKED - PROTECTED",IF(V57="Yes","BLOCKED - RETENTION/HOLD",IF(R57="Yes","REVIEW INTEGRATION DEPENDENCY",IF(L57&lt;&gt;"Yes","OWNER VALIDATION REQUIRED",IF(OR(S57="Critical",S57="High"),"BUSINESS RISK REVIEW REQUIRED",IF(C57="Production","PRODUCTION APPROVAL REQUIRED",IF(I57="ACTIVE","NOT ELIGIBLE - ACTIVE",IF(X57="Still Required","KEEP - OWNER CONFIRMED",IF(X57="Exception Requested","EXCEPTION PENDING","REVIEW FOR CLEANUP"))))))))))</x:f>
      </x:c>
    </x:row>
    <x:row r="58">
      <x:c r="A58" s="23"/>
      <x:c r="B58" s="23"/>
      <x:c r="C58" s="23"/>
      <x:c r="D58" s="23"/>
      <x:c r="E58" s="34"/>
      <x:c r="F58" s="34"/>
      <x:c r="G58" s="32" t="str">
        <x:f ca="1">IF(F58="","",MAX(0,TODAY()-F58))</x:f>
      </x:c>
      <x:c r="H58" s="32" t="str">
        <x:f>IF(C58="","",IFERROR(VLOOKUP(C58,'Organization Settings'!$A$4:$B$9,2,FALSE),""))</x:f>
      </x:c>
      <x:c r="I58" s="23" t="str">
        <x:f ca="1">IF(A58="","",IF(T58="Yes","PROTECTED",IF(V58="Yes","HOLD - DO NOT CLEAN",IF(OR(F58="",H58=""),"INCOMPLETE",IF(G58&gt;=H58,"REVIEW REQUIRED","ACTIVE")))))</x:f>
      </x:c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34"/>
      <x:c r="X58" s="23"/>
      <x:c r="Y58" s="34"/>
      <x:c r="Z58" s="23"/>
      <x:c r="AA58" s="23"/>
      <x:c r="AB58" s="23"/>
      <x:c r="AC58" s="34"/>
      <x:c r="AD58" s="34"/>
      <x:c r="AE58" s="34"/>
      <x:c r="AF58" s="23"/>
      <x:c r="AG58" s="23"/>
      <x:c r="AH58" s="23"/>
      <x:c r="AI58" s="23"/>
      <x:c r="AJ58" s="23" t="str">
        <x:f>IF(A58="","",IF(T58="Yes","BLOCKED - PROTECTED",IF(V58="Yes","BLOCKED - RETENTION/HOLD",IF(R58="Yes","REVIEW INTEGRATION DEPENDENCY",IF(L58&lt;&gt;"Yes","OWNER VALIDATION REQUIRED",IF(OR(S58="Critical",S58="High"),"BUSINESS RISK REVIEW REQUIRED",IF(C58="Production","PRODUCTION APPROVAL REQUIRED",IF(I58="ACTIVE","NOT ELIGIBLE - ACTIVE",IF(X58="Still Required","KEEP - OWNER CONFIRMED",IF(X58="Exception Requested","EXCEPTION PENDING","REVIEW FOR CLEANUP"))))))))))</x:f>
      </x:c>
    </x:row>
    <x:row r="59">
      <x:c r="A59" s="23"/>
      <x:c r="B59" s="23"/>
      <x:c r="C59" s="23"/>
      <x:c r="D59" s="23"/>
      <x:c r="E59" s="34"/>
      <x:c r="F59" s="34"/>
      <x:c r="G59" s="32" t="str">
        <x:f ca="1">IF(F59="","",MAX(0,TODAY()-F59))</x:f>
      </x:c>
      <x:c r="H59" s="32" t="str">
        <x:f>IF(C59="","",IFERROR(VLOOKUP(C59,'Organization Settings'!$A$4:$B$9,2,FALSE),""))</x:f>
      </x:c>
      <x:c r="I59" s="23" t="str">
        <x:f ca="1">IF(A59="","",IF(T59="Yes","PROTECTED",IF(V59="Yes","HOLD - DO NOT CLEAN",IF(OR(F59="",H59=""),"INCOMPLETE",IF(G59&gt;=H59,"REVIEW REQUIRED","ACTIVE")))))</x:f>
      </x:c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34"/>
      <x:c r="X59" s="23"/>
      <x:c r="Y59" s="34"/>
      <x:c r="Z59" s="23"/>
      <x:c r="AA59" s="23"/>
      <x:c r="AB59" s="23"/>
      <x:c r="AC59" s="34"/>
      <x:c r="AD59" s="34"/>
      <x:c r="AE59" s="34"/>
      <x:c r="AF59" s="23"/>
      <x:c r="AG59" s="23"/>
      <x:c r="AH59" s="23"/>
      <x:c r="AI59" s="23"/>
      <x:c r="AJ59" s="23" t="str">
        <x:f>IF(A59="","",IF(T59="Yes","BLOCKED - PROTECTED",IF(V59="Yes","BLOCKED - RETENTION/HOLD",IF(R59="Yes","REVIEW INTEGRATION DEPENDENCY",IF(L59&lt;&gt;"Yes","OWNER VALIDATION REQUIRED",IF(OR(S59="Critical",S59="High"),"BUSINESS RISK REVIEW REQUIRED",IF(C59="Production","PRODUCTION APPROVAL REQUIRED",IF(I59="ACTIVE","NOT ELIGIBLE - ACTIVE",IF(X59="Still Required","KEEP - OWNER CONFIRMED",IF(X59="Exception Requested","EXCEPTION PENDING","REVIEW FOR CLEANUP"))))))))))</x:f>
      </x:c>
    </x:row>
    <x:row r="60">
      <x:c r="A60" s="23"/>
      <x:c r="B60" s="23"/>
      <x:c r="C60" s="23"/>
      <x:c r="D60" s="23"/>
      <x:c r="E60" s="34"/>
      <x:c r="F60" s="34"/>
      <x:c r="G60" s="32" t="str">
        <x:f ca="1">IF(F60="","",MAX(0,TODAY()-F60))</x:f>
      </x:c>
      <x:c r="H60" s="32" t="str">
        <x:f>IF(C60="","",IFERROR(VLOOKUP(C60,'Organization Settings'!$A$4:$B$9,2,FALSE),""))</x:f>
      </x:c>
      <x:c r="I60" s="23" t="str">
        <x:f ca="1">IF(A60="","",IF(T60="Yes","PROTECTED",IF(V60="Yes","HOLD - DO NOT CLEAN",IF(OR(F60="",H60=""),"INCOMPLETE",IF(G60&gt;=H60,"REVIEW REQUIRED","ACTIVE")))))</x:f>
      </x:c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34"/>
      <x:c r="X60" s="23"/>
      <x:c r="Y60" s="34"/>
      <x:c r="Z60" s="23"/>
      <x:c r="AA60" s="23"/>
      <x:c r="AB60" s="23"/>
      <x:c r="AC60" s="34"/>
      <x:c r="AD60" s="34"/>
      <x:c r="AE60" s="34"/>
      <x:c r="AF60" s="23"/>
      <x:c r="AG60" s="23"/>
      <x:c r="AH60" s="23"/>
      <x:c r="AI60" s="23"/>
      <x:c r="AJ60" s="23" t="str">
        <x:f>IF(A60="","",IF(T60="Yes","BLOCKED - PROTECTED",IF(V60="Yes","BLOCKED - RETENTION/HOLD",IF(R60="Yes","REVIEW INTEGRATION DEPENDENCY",IF(L60&lt;&gt;"Yes","OWNER VALIDATION REQUIRED",IF(OR(S60="Critical",S60="High"),"BUSINESS RISK REVIEW REQUIRED",IF(C60="Production","PRODUCTION APPROVAL REQUIRED",IF(I60="ACTIVE","NOT ELIGIBLE - ACTIVE",IF(X60="Still Required","KEEP - OWNER CONFIRMED",IF(X60="Exception Requested","EXCEPTION PENDING","REVIEW FOR CLEANUP"))))))))))</x:f>
      </x:c>
    </x:row>
    <x:row r="61">
      <x:c r="A61" s="23"/>
      <x:c r="B61" s="23"/>
      <x:c r="C61" s="23"/>
      <x:c r="D61" s="23"/>
      <x:c r="E61" s="34"/>
      <x:c r="F61" s="34"/>
      <x:c r="G61" s="32" t="str">
        <x:f ca="1">IF(F61="","",MAX(0,TODAY()-F61))</x:f>
      </x:c>
      <x:c r="H61" s="32" t="str">
        <x:f>IF(C61="","",IFERROR(VLOOKUP(C61,'Organization Settings'!$A$4:$B$9,2,FALSE),""))</x:f>
      </x:c>
      <x:c r="I61" s="23" t="str">
        <x:f ca="1">IF(A61="","",IF(T61="Yes","PROTECTED",IF(V61="Yes","HOLD - DO NOT CLEAN",IF(OR(F61="",H61=""),"INCOMPLETE",IF(G61&gt;=H61,"REVIEW REQUIRED","ACTIVE")))))</x:f>
      </x:c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34"/>
      <x:c r="X61" s="23"/>
      <x:c r="Y61" s="34"/>
      <x:c r="Z61" s="23"/>
      <x:c r="AA61" s="23"/>
      <x:c r="AB61" s="23"/>
      <x:c r="AC61" s="34"/>
      <x:c r="AD61" s="34"/>
      <x:c r="AE61" s="34"/>
      <x:c r="AF61" s="23"/>
      <x:c r="AG61" s="23"/>
      <x:c r="AH61" s="23"/>
      <x:c r="AI61" s="23"/>
      <x:c r="AJ61" s="23" t="str">
        <x:f>IF(A61="","",IF(T61="Yes","BLOCKED - PROTECTED",IF(V61="Yes","BLOCKED - RETENTION/HOLD",IF(R61="Yes","REVIEW INTEGRATION DEPENDENCY",IF(L61&lt;&gt;"Yes","OWNER VALIDATION REQUIRED",IF(OR(S61="Critical",S61="High"),"BUSINESS RISK REVIEW REQUIRED",IF(C61="Production","PRODUCTION APPROVAL REQUIRED",IF(I61="ACTIVE","NOT ELIGIBLE - ACTIVE",IF(X61="Still Required","KEEP - OWNER CONFIRMED",IF(X61="Exception Requested","EXCEPTION PENDING","REVIEW FOR CLEANUP"))))))))))</x:f>
      </x:c>
    </x:row>
    <x:row r="62">
      <x:c r="A62" s="23"/>
      <x:c r="B62" s="23"/>
      <x:c r="C62" s="23"/>
      <x:c r="D62" s="23"/>
      <x:c r="E62" s="34"/>
      <x:c r="F62" s="34"/>
      <x:c r="G62" s="32" t="str">
        <x:f ca="1">IF(F62="","",MAX(0,TODAY()-F62))</x:f>
      </x:c>
      <x:c r="H62" s="32" t="str">
        <x:f>IF(C62="","",IFERROR(VLOOKUP(C62,'Organization Settings'!$A$4:$B$9,2,FALSE),""))</x:f>
      </x:c>
      <x:c r="I62" s="23" t="str">
        <x:f ca="1">IF(A62="","",IF(T62="Yes","PROTECTED",IF(V62="Yes","HOLD - DO NOT CLEAN",IF(OR(F62="",H62=""),"INCOMPLETE",IF(G62&gt;=H62,"REVIEW REQUIRED","ACTIVE")))))</x:f>
      </x:c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34"/>
      <x:c r="X62" s="23"/>
      <x:c r="Y62" s="34"/>
      <x:c r="Z62" s="23"/>
      <x:c r="AA62" s="23"/>
      <x:c r="AB62" s="23"/>
      <x:c r="AC62" s="34"/>
      <x:c r="AD62" s="34"/>
      <x:c r="AE62" s="34"/>
      <x:c r="AF62" s="23"/>
      <x:c r="AG62" s="23"/>
      <x:c r="AH62" s="23"/>
      <x:c r="AI62" s="23"/>
      <x:c r="AJ62" s="23" t="str">
        <x:f>IF(A62="","",IF(T62="Yes","BLOCKED - PROTECTED",IF(V62="Yes","BLOCKED - RETENTION/HOLD",IF(R62="Yes","REVIEW INTEGRATION DEPENDENCY",IF(L62&lt;&gt;"Yes","OWNER VALIDATION REQUIRED",IF(OR(S62="Critical",S62="High"),"BUSINESS RISK REVIEW REQUIRED",IF(C62="Production","PRODUCTION APPROVAL REQUIRED",IF(I62="ACTIVE","NOT ELIGIBLE - ACTIVE",IF(X62="Still Required","KEEP - OWNER CONFIRMED",IF(X62="Exception Requested","EXCEPTION PENDING","REVIEW FOR CLEANUP"))))))))))</x:f>
      </x:c>
    </x:row>
    <x:row r="63">
      <x:c r="A63" s="23"/>
      <x:c r="B63" s="23"/>
      <x:c r="C63" s="23"/>
      <x:c r="D63" s="23"/>
      <x:c r="E63" s="34"/>
      <x:c r="F63" s="34"/>
      <x:c r="G63" s="32" t="str">
        <x:f ca="1">IF(F63="","",MAX(0,TODAY()-F63))</x:f>
      </x:c>
      <x:c r="H63" s="32" t="str">
        <x:f>IF(C63="","",IFERROR(VLOOKUP(C63,'Organization Settings'!$A$4:$B$9,2,FALSE),""))</x:f>
      </x:c>
      <x:c r="I63" s="23" t="str">
        <x:f ca="1">IF(A63="","",IF(T63="Yes","PROTECTED",IF(V63="Yes","HOLD - DO NOT CLEAN",IF(OR(F63="",H63=""),"INCOMPLETE",IF(G63&gt;=H63,"REVIEW REQUIRED","ACTIVE")))))</x:f>
      </x:c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34"/>
      <x:c r="X63" s="23"/>
      <x:c r="Y63" s="34"/>
      <x:c r="Z63" s="23"/>
      <x:c r="AA63" s="23"/>
      <x:c r="AB63" s="23"/>
      <x:c r="AC63" s="34"/>
      <x:c r="AD63" s="34"/>
      <x:c r="AE63" s="34"/>
      <x:c r="AF63" s="23"/>
      <x:c r="AG63" s="23"/>
      <x:c r="AH63" s="23"/>
      <x:c r="AI63" s="23"/>
      <x:c r="AJ63" s="23" t="str">
        <x:f>IF(A63="","",IF(T63="Yes","BLOCKED - PROTECTED",IF(V63="Yes","BLOCKED - RETENTION/HOLD",IF(R63="Yes","REVIEW INTEGRATION DEPENDENCY",IF(L63&lt;&gt;"Yes","OWNER VALIDATION REQUIRED",IF(OR(S63="Critical",S63="High"),"BUSINESS RISK REVIEW REQUIRED",IF(C63="Production","PRODUCTION APPROVAL REQUIRED",IF(I63="ACTIVE","NOT ELIGIBLE - ACTIVE",IF(X63="Still Required","KEEP - OWNER CONFIRMED",IF(X63="Exception Requested","EXCEPTION PENDING","REVIEW FOR CLEANUP"))))))))))</x:f>
      </x:c>
    </x:row>
    <x:row r="64">
      <x:c r="A64" s="23"/>
      <x:c r="B64" s="23"/>
      <x:c r="C64" s="23"/>
      <x:c r="D64" s="23"/>
      <x:c r="E64" s="34"/>
      <x:c r="F64" s="34"/>
      <x:c r="G64" s="32" t="str">
        <x:f ca="1">IF(F64="","",MAX(0,TODAY()-F64))</x:f>
      </x:c>
      <x:c r="H64" s="32" t="str">
        <x:f>IF(C64="","",IFERROR(VLOOKUP(C64,'Organization Settings'!$A$4:$B$9,2,FALSE),""))</x:f>
      </x:c>
      <x:c r="I64" s="23" t="str">
        <x:f ca="1">IF(A64="","",IF(T64="Yes","PROTECTED",IF(V64="Yes","HOLD - DO NOT CLEAN",IF(OR(F64="",H64=""),"INCOMPLETE",IF(G64&gt;=H64,"REVIEW REQUIRED","ACTIVE")))))</x:f>
      </x:c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34"/>
      <x:c r="X64" s="23"/>
      <x:c r="Y64" s="34"/>
      <x:c r="Z64" s="23"/>
      <x:c r="AA64" s="23"/>
      <x:c r="AB64" s="23"/>
      <x:c r="AC64" s="34"/>
      <x:c r="AD64" s="34"/>
      <x:c r="AE64" s="34"/>
      <x:c r="AF64" s="23"/>
      <x:c r="AG64" s="23"/>
      <x:c r="AH64" s="23"/>
      <x:c r="AI64" s="23"/>
      <x:c r="AJ64" s="23" t="str">
        <x:f>IF(A64="","",IF(T64="Yes","BLOCKED - PROTECTED",IF(V64="Yes","BLOCKED - RETENTION/HOLD",IF(R64="Yes","REVIEW INTEGRATION DEPENDENCY",IF(L64&lt;&gt;"Yes","OWNER VALIDATION REQUIRED",IF(OR(S64="Critical",S64="High"),"BUSINESS RISK REVIEW REQUIRED",IF(C64="Production","PRODUCTION APPROVAL REQUIRED",IF(I64="ACTIVE","NOT ELIGIBLE - ACTIVE",IF(X64="Still Required","KEEP - OWNER CONFIRMED",IF(X64="Exception Requested","EXCEPTION PENDING","REVIEW FOR CLEANUP"))))))))))</x:f>
      </x:c>
    </x:row>
    <x:row r="65">
      <x:c r="A65" s="23"/>
      <x:c r="B65" s="23"/>
      <x:c r="C65" s="23"/>
      <x:c r="D65" s="23"/>
      <x:c r="E65" s="34"/>
      <x:c r="F65" s="34"/>
      <x:c r="G65" s="32" t="str">
        <x:f ca="1">IF(F65="","",MAX(0,TODAY()-F65))</x:f>
      </x:c>
      <x:c r="H65" s="32" t="str">
        <x:f>IF(C65="","",IFERROR(VLOOKUP(C65,'Organization Settings'!$A$4:$B$9,2,FALSE),""))</x:f>
      </x:c>
      <x:c r="I65" s="23" t="str">
        <x:f ca="1">IF(A65="","",IF(T65="Yes","PROTECTED",IF(V65="Yes","HOLD - DO NOT CLEAN",IF(OR(F65="",H65=""),"INCOMPLETE",IF(G65&gt;=H65,"REVIEW REQUIRED","ACTIVE")))))</x:f>
      </x:c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34"/>
      <x:c r="X65" s="23"/>
      <x:c r="Y65" s="34"/>
      <x:c r="Z65" s="23"/>
      <x:c r="AA65" s="23"/>
      <x:c r="AB65" s="23"/>
      <x:c r="AC65" s="34"/>
      <x:c r="AD65" s="34"/>
      <x:c r="AE65" s="34"/>
      <x:c r="AF65" s="23"/>
      <x:c r="AG65" s="23"/>
      <x:c r="AH65" s="23"/>
      <x:c r="AI65" s="23"/>
      <x:c r="AJ65" s="23" t="str">
        <x:f>IF(A65="","",IF(T65="Yes","BLOCKED - PROTECTED",IF(V65="Yes","BLOCKED - RETENTION/HOLD",IF(R65="Yes","REVIEW INTEGRATION DEPENDENCY",IF(L65&lt;&gt;"Yes","OWNER VALIDATION REQUIRED",IF(OR(S65="Critical",S65="High"),"BUSINESS RISK REVIEW REQUIRED",IF(C65="Production","PRODUCTION APPROVAL REQUIRED",IF(I65="ACTIVE","NOT ELIGIBLE - ACTIVE",IF(X65="Still Required","KEEP - OWNER CONFIRMED",IF(X65="Exception Requested","EXCEPTION PENDING","REVIEW FOR CLEANUP"))))))))))</x:f>
      </x:c>
    </x:row>
    <x:row r="66">
      <x:c r="A66" s="23"/>
      <x:c r="B66" s="23"/>
      <x:c r="C66" s="23"/>
      <x:c r="D66" s="23"/>
      <x:c r="E66" s="34"/>
      <x:c r="F66" s="34"/>
      <x:c r="G66" s="32" t="str">
        <x:f ca="1">IF(F66="","",MAX(0,TODAY()-F66))</x:f>
      </x:c>
      <x:c r="H66" s="32" t="str">
        <x:f>IF(C66="","",IFERROR(VLOOKUP(C66,'Organization Settings'!$A$4:$B$9,2,FALSE),""))</x:f>
      </x:c>
      <x:c r="I66" s="23" t="str">
        <x:f ca="1">IF(A66="","",IF(T66="Yes","PROTECTED",IF(V66="Yes","HOLD - DO NOT CLEAN",IF(OR(F66="",H66=""),"INCOMPLETE",IF(G66&gt;=H66,"REVIEW REQUIRED","ACTIVE")))))</x:f>
      </x:c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34"/>
      <x:c r="X66" s="23"/>
      <x:c r="Y66" s="34"/>
      <x:c r="Z66" s="23"/>
      <x:c r="AA66" s="23"/>
      <x:c r="AB66" s="23"/>
      <x:c r="AC66" s="34"/>
      <x:c r="AD66" s="34"/>
      <x:c r="AE66" s="34"/>
      <x:c r="AF66" s="23"/>
      <x:c r="AG66" s="23"/>
      <x:c r="AH66" s="23"/>
      <x:c r="AI66" s="23"/>
      <x:c r="AJ66" s="23" t="str">
        <x:f>IF(A66="","",IF(T66="Yes","BLOCKED - PROTECTED",IF(V66="Yes","BLOCKED - RETENTION/HOLD",IF(R66="Yes","REVIEW INTEGRATION DEPENDENCY",IF(L66&lt;&gt;"Yes","OWNER VALIDATION REQUIRED",IF(OR(S66="Critical",S66="High"),"BUSINESS RISK REVIEW REQUIRED",IF(C66="Production","PRODUCTION APPROVAL REQUIRED",IF(I66="ACTIVE","NOT ELIGIBLE - ACTIVE",IF(X66="Still Required","KEEP - OWNER CONFIRMED",IF(X66="Exception Requested","EXCEPTION PENDING","REVIEW FOR CLEANUP"))))))))))</x:f>
      </x:c>
    </x:row>
    <x:row r="67">
      <x:c r="A67" s="23"/>
      <x:c r="B67" s="23"/>
      <x:c r="C67" s="23"/>
      <x:c r="D67" s="23"/>
      <x:c r="E67" s="34"/>
      <x:c r="F67" s="34"/>
      <x:c r="G67" s="32" t="str">
        <x:f ca="1">IF(F67="","",MAX(0,TODAY()-F67))</x:f>
      </x:c>
      <x:c r="H67" s="32" t="str">
        <x:f>IF(C67="","",IFERROR(VLOOKUP(C67,'Organization Settings'!$A$4:$B$9,2,FALSE),""))</x:f>
      </x:c>
      <x:c r="I67" s="23" t="str">
        <x:f ca="1">IF(A67="","",IF(T67="Yes","PROTECTED",IF(V67="Yes","HOLD - DO NOT CLEAN",IF(OR(F67="",H67=""),"INCOMPLETE",IF(G67&gt;=H67,"REVIEW REQUIRED","ACTIVE")))))</x:f>
      </x:c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34"/>
      <x:c r="X67" s="23"/>
      <x:c r="Y67" s="34"/>
      <x:c r="Z67" s="23"/>
      <x:c r="AA67" s="23"/>
      <x:c r="AB67" s="23"/>
      <x:c r="AC67" s="34"/>
      <x:c r="AD67" s="34"/>
      <x:c r="AE67" s="34"/>
      <x:c r="AF67" s="23"/>
      <x:c r="AG67" s="23"/>
      <x:c r="AH67" s="23"/>
      <x:c r="AI67" s="23"/>
      <x:c r="AJ67" s="23" t="str">
        <x:f>IF(A67="","",IF(T67="Yes","BLOCKED - PROTECTED",IF(V67="Yes","BLOCKED - RETENTION/HOLD",IF(R67="Yes","REVIEW INTEGRATION DEPENDENCY",IF(L67&lt;&gt;"Yes","OWNER VALIDATION REQUIRED",IF(OR(S67="Critical",S67="High"),"BUSINESS RISK REVIEW REQUIRED",IF(C67="Production","PRODUCTION APPROVAL REQUIRED",IF(I67="ACTIVE","NOT ELIGIBLE - ACTIVE",IF(X67="Still Required","KEEP - OWNER CONFIRMED",IF(X67="Exception Requested","EXCEPTION PENDING","REVIEW FOR CLEANUP"))))))))))</x:f>
      </x:c>
    </x:row>
    <x:row r="68">
      <x:c r="A68" s="23"/>
      <x:c r="B68" s="23"/>
      <x:c r="C68" s="23"/>
      <x:c r="D68" s="23"/>
      <x:c r="E68" s="34"/>
      <x:c r="F68" s="34"/>
      <x:c r="G68" s="32" t="str">
        <x:f ca="1">IF(F68="","",MAX(0,TODAY()-F68))</x:f>
      </x:c>
      <x:c r="H68" s="32" t="str">
        <x:f>IF(C68="","",IFERROR(VLOOKUP(C68,'Organization Settings'!$A$4:$B$9,2,FALSE),""))</x:f>
      </x:c>
      <x:c r="I68" s="23" t="str">
        <x:f ca="1">IF(A68="","",IF(T68="Yes","PROTECTED",IF(V68="Yes","HOLD - DO NOT CLEAN",IF(OR(F68="",H68=""),"INCOMPLETE",IF(G68&gt;=H68,"REVIEW REQUIRED","ACTIVE")))))</x:f>
      </x:c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34"/>
      <x:c r="X68" s="23"/>
      <x:c r="Y68" s="34"/>
      <x:c r="Z68" s="23"/>
      <x:c r="AA68" s="23"/>
      <x:c r="AB68" s="23"/>
      <x:c r="AC68" s="34"/>
      <x:c r="AD68" s="34"/>
      <x:c r="AE68" s="34"/>
      <x:c r="AF68" s="23"/>
      <x:c r="AG68" s="23"/>
      <x:c r="AH68" s="23"/>
      <x:c r="AI68" s="23"/>
      <x:c r="AJ68" s="23" t="str">
        <x:f>IF(A68="","",IF(T68="Yes","BLOCKED - PROTECTED",IF(V68="Yes","BLOCKED - RETENTION/HOLD",IF(R68="Yes","REVIEW INTEGRATION DEPENDENCY",IF(L68&lt;&gt;"Yes","OWNER VALIDATION REQUIRED",IF(OR(S68="Critical",S68="High"),"BUSINESS RISK REVIEW REQUIRED",IF(C68="Production","PRODUCTION APPROVAL REQUIRED",IF(I68="ACTIVE","NOT ELIGIBLE - ACTIVE",IF(X68="Still Required","KEEP - OWNER CONFIRMED",IF(X68="Exception Requested","EXCEPTION PENDING","REVIEW FOR CLEANUP"))))))))))</x:f>
      </x:c>
    </x:row>
    <x:row r="69">
      <x:c r="A69" s="23"/>
      <x:c r="B69" s="23"/>
      <x:c r="C69" s="23"/>
      <x:c r="D69" s="23"/>
      <x:c r="E69" s="34"/>
      <x:c r="F69" s="34"/>
      <x:c r="G69" s="32" t="str">
        <x:f ca="1">IF(F69="","",MAX(0,TODAY()-F69))</x:f>
      </x:c>
      <x:c r="H69" s="32" t="str">
        <x:f>IF(C69="","",IFERROR(VLOOKUP(C69,'Organization Settings'!$A$4:$B$9,2,FALSE),""))</x:f>
      </x:c>
      <x:c r="I69" s="23" t="str">
        <x:f ca="1">IF(A69="","",IF(T69="Yes","PROTECTED",IF(V69="Yes","HOLD - DO NOT CLEAN",IF(OR(F69="",H69=""),"INCOMPLETE",IF(G69&gt;=H69,"REVIEW REQUIRED","ACTIVE")))))</x:f>
      </x:c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34"/>
      <x:c r="X69" s="23"/>
      <x:c r="Y69" s="34"/>
      <x:c r="Z69" s="23"/>
      <x:c r="AA69" s="23"/>
      <x:c r="AB69" s="23"/>
      <x:c r="AC69" s="34"/>
      <x:c r="AD69" s="34"/>
      <x:c r="AE69" s="34"/>
      <x:c r="AF69" s="23"/>
      <x:c r="AG69" s="23"/>
      <x:c r="AH69" s="23"/>
      <x:c r="AI69" s="23"/>
      <x:c r="AJ69" s="23" t="str">
        <x:f>IF(A69="","",IF(T69="Yes","BLOCKED - PROTECTED",IF(V69="Yes","BLOCKED - RETENTION/HOLD",IF(R69="Yes","REVIEW INTEGRATION DEPENDENCY",IF(L69&lt;&gt;"Yes","OWNER VALIDATION REQUIRED",IF(OR(S69="Critical",S69="High"),"BUSINESS RISK REVIEW REQUIRED",IF(C69="Production","PRODUCTION APPROVAL REQUIRED",IF(I69="ACTIVE","NOT ELIGIBLE - ACTIVE",IF(X69="Still Required","KEEP - OWNER CONFIRMED",IF(X69="Exception Requested","EXCEPTION PENDING","REVIEW FOR CLEANUP"))))))))))</x:f>
      </x:c>
    </x:row>
    <x:row r="70">
      <x:c r="A70" s="23"/>
      <x:c r="B70" s="23"/>
      <x:c r="C70" s="23"/>
      <x:c r="D70" s="23"/>
      <x:c r="E70" s="34"/>
      <x:c r="F70" s="34"/>
      <x:c r="G70" s="32" t="str">
        <x:f ca="1">IF(F70="","",MAX(0,TODAY()-F70))</x:f>
      </x:c>
      <x:c r="H70" s="32" t="str">
        <x:f>IF(C70="","",IFERROR(VLOOKUP(C70,'Organization Settings'!$A$4:$B$9,2,FALSE),""))</x:f>
      </x:c>
      <x:c r="I70" s="23" t="str">
        <x:f ca="1">IF(A70="","",IF(T70="Yes","PROTECTED",IF(V70="Yes","HOLD - DO NOT CLEAN",IF(OR(F70="",H70=""),"INCOMPLETE",IF(G70&gt;=H70,"REVIEW REQUIRED","ACTIVE")))))</x:f>
      </x:c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34"/>
      <x:c r="X70" s="23"/>
      <x:c r="Y70" s="34"/>
      <x:c r="Z70" s="23"/>
      <x:c r="AA70" s="23"/>
      <x:c r="AB70" s="23"/>
      <x:c r="AC70" s="34"/>
      <x:c r="AD70" s="34"/>
      <x:c r="AE70" s="34"/>
      <x:c r="AF70" s="23"/>
      <x:c r="AG70" s="23"/>
      <x:c r="AH70" s="23"/>
      <x:c r="AI70" s="23"/>
      <x:c r="AJ70" s="23" t="str">
        <x:f>IF(A70="","",IF(T70="Yes","BLOCKED - PROTECTED",IF(V70="Yes","BLOCKED - RETENTION/HOLD",IF(R70="Yes","REVIEW INTEGRATION DEPENDENCY",IF(L70&lt;&gt;"Yes","OWNER VALIDATION REQUIRED",IF(OR(S70="Critical",S70="High"),"BUSINESS RISK REVIEW REQUIRED",IF(C70="Production","PRODUCTION APPROVAL REQUIRED",IF(I70="ACTIVE","NOT ELIGIBLE - ACTIVE",IF(X70="Still Required","KEEP - OWNER CONFIRMED",IF(X70="Exception Requested","EXCEPTION PENDING","REVIEW FOR CLEANUP"))))))))))</x:f>
      </x:c>
    </x:row>
    <x:row r="71">
      <x:c r="A71" s="23"/>
      <x:c r="B71" s="23"/>
      <x:c r="C71" s="23"/>
      <x:c r="D71" s="23"/>
      <x:c r="E71" s="34"/>
      <x:c r="F71" s="34"/>
      <x:c r="G71" s="32" t="str">
        <x:f ca="1">IF(F71="","",MAX(0,TODAY()-F71))</x:f>
      </x:c>
      <x:c r="H71" s="32" t="str">
        <x:f>IF(C71="","",IFERROR(VLOOKUP(C71,'Organization Settings'!$A$4:$B$9,2,FALSE),""))</x:f>
      </x:c>
      <x:c r="I71" s="23" t="str">
        <x:f ca="1">IF(A71="","",IF(T71="Yes","PROTECTED",IF(V71="Yes","HOLD - DO NOT CLEAN",IF(OR(F71="",H71=""),"INCOMPLETE",IF(G71&gt;=H71,"REVIEW REQUIRED","ACTIVE")))))</x:f>
      </x:c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34"/>
      <x:c r="X71" s="23"/>
      <x:c r="Y71" s="34"/>
      <x:c r="Z71" s="23"/>
      <x:c r="AA71" s="23"/>
      <x:c r="AB71" s="23"/>
      <x:c r="AC71" s="34"/>
      <x:c r="AD71" s="34"/>
      <x:c r="AE71" s="34"/>
      <x:c r="AF71" s="23"/>
      <x:c r="AG71" s="23"/>
      <x:c r="AH71" s="23"/>
      <x:c r="AI71" s="23"/>
      <x:c r="AJ71" s="23" t="str">
        <x:f>IF(A71="","",IF(T71="Yes","BLOCKED - PROTECTED",IF(V71="Yes","BLOCKED - RETENTION/HOLD",IF(R71="Yes","REVIEW INTEGRATION DEPENDENCY",IF(L71&lt;&gt;"Yes","OWNER VALIDATION REQUIRED",IF(OR(S71="Critical",S71="High"),"BUSINESS RISK REVIEW REQUIRED",IF(C71="Production","PRODUCTION APPROVAL REQUIRED",IF(I71="ACTIVE","NOT ELIGIBLE - ACTIVE",IF(X71="Still Required","KEEP - OWNER CONFIRMED",IF(X71="Exception Requested","EXCEPTION PENDING","REVIEW FOR CLEANUP"))))))))))</x:f>
      </x:c>
    </x:row>
    <x:row r="72">
      <x:c r="A72" s="23"/>
      <x:c r="B72" s="23"/>
      <x:c r="C72" s="23"/>
      <x:c r="D72" s="23"/>
      <x:c r="E72" s="34"/>
      <x:c r="F72" s="34"/>
      <x:c r="G72" s="32" t="str">
        <x:f ca="1">IF(F72="","",MAX(0,TODAY()-F72))</x:f>
      </x:c>
      <x:c r="H72" s="32" t="str">
        <x:f>IF(C72="","",IFERROR(VLOOKUP(C72,'Organization Settings'!$A$4:$B$9,2,FALSE),""))</x:f>
      </x:c>
      <x:c r="I72" s="23" t="str">
        <x:f ca="1">IF(A72="","",IF(T72="Yes","PROTECTED",IF(V72="Yes","HOLD - DO NOT CLEAN",IF(OR(F72="",H72=""),"INCOMPLETE",IF(G72&gt;=H72,"REVIEW REQUIRED","ACTIVE")))))</x:f>
      </x:c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34"/>
      <x:c r="X72" s="23"/>
      <x:c r="Y72" s="34"/>
      <x:c r="Z72" s="23"/>
      <x:c r="AA72" s="23"/>
      <x:c r="AB72" s="23"/>
      <x:c r="AC72" s="34"/>
      <x:c r="AD72" s="34"/>
      <x:c r="AE72" s="34"/>
      <x:c r="AF72" s="23"/>
      <x:c r="AG72" s="23"/>
      <x:c r="AH72" s="23"/>
      <x:c r="AI72" s="23"/>
      <x:c r="AJ72" s="23" t="str">
        <x:f>IF(A72="","",IF(T72="Yes","BLOCKED - PROTECTED",IF(V72="Yes","BLOCKED - RETENTION/HOLD",IF(R72="Yes","REVIEW INTEGRATION DEPENDENCY",IF(L72&lt;&gt;"Yes","OWNER VALIDATION REQUIRED",IF(OR(S72="Critical",S72="High"),"BUSINESS RISK REVIEW REQUIRED",IF(C72="Production","PRODUCTION APPROVAL REQUIRED",IF(I72="ACTIVE","NOT ELIGIBLE - ACTIVE",IF(X72="Still Required","KEEP - OWNER CONFIRMED",IF(X72="Exception Requested","EXCEPTION PENDING","REVIEW FOR CLEANUP"))))))))))</x:f>
      </x:c>
    </x:row>
    <x:row r="73">
      <x:c r="A73" s="23"/>
      <x:c r="B73" s="23"/>
      <x:c r="C73" s="23"/>
      <x:c r="D73" s="23"/>
      <x:c r="E73" s="34"/>
      <x:c r="F73" s="34"/>
      <x:c r="G73" s="32" t="str">
        <x:f ca="1">IF(F73="","",MAX(0,TODAY()-F73))</x:f>
      </x:c>
      <x:c r="H73" s="32" t="str">
        <x:f>IF(C73="","",IFERROR(VLOOKUP(C73,'Organization Settings'!$A$4:$B$9,2,FALSE),""))</x:f>
      </x:c>
      <x:c r="I73" s="23" t="str">
        <x:f ca="1">IF(A73="","",IF(T73="Yes","PROTECTED",IF(V73="Yes","HOLD - DO NOT CLEAN",IF(OR(F73="",H73=""),"INCOMPLETE",IF(G73&gt;=H73,"REVIEW REQUIRED","ACTIVE")))))</x:f>
      </x:c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34"/>
      <x:c r="X73" s="23"/>
      <x:c r="Y73" s="34"/>
      <x:c r="Z73" s="23"/>
      <x:c r="AA73" s="23"/>
      <x:c r="AB73" s="23"/>
      <x:c r="AC73" s="34"/>
      <x:c r="AD73" s="34"/>
      <x:c r="AE73" s="34"/>
      <x:c r="AF73" s="23"/>
      <x:c r="AG73" s="23"/>
      <x:c r="AH73" s="23"/>
      <x:c r="AI73" s="23"/>
      <x:c r="AJ73" s="23" t="str">
        <x:f>IF(A73="","",IF(T73="Yes","BLOCKED - PROTECTED",IF(V73="Yes","BLOCKED - RETENTION/HOLD",IF(R73="Yes","REVIEW INTEGRATION DEPENDENCY",IF(L73&lt;&gt;"Yes","OWNER VALIDATION REQUIRED",IF(OR(S73="Critical",S73="High"),"BUSINESS RISK REVIEW REQUIRED",IF(C73="Production","PRODUCTION APPROVAL REQUIRED",IF(I73="ACTIVE","NOT ELIGIBLE - ACTIVE",IF(X73="Still Required","KEEP - OWNER CONFIRMED",IF(X73="Exception Requested","EXCEPTION PENDING","REVIEW FOR CLEANUP"))))))))))</x:f>
      </x:c>
    </x:row>
    <x:row r="74">
      <x:c r="A74" s="23"/>
      <x:c r="B74" s="23"/>
      <x:c r="C74" s="23"/>
      <x:c r="D74" s="23"/>
      <x:c r="E74" s="34"/>
      <x:c r="F74" s="34"/>
      <x:c r="G74" s="32" t="str">
        <x:f ca="1">IF(F74="","",MAX(0,TODAY()-F74))</x:f>
      </x:c>
      <x:c r="H74" s="32" t="str">
        <x:f>IF(C74="","",IFERROR(VLOOKUP(C74,'Organization Settings'!$A$4:$B$9,2,FALSE),""))</x:f>
      </x:c>
      <x:c r="I74" s="23" t="str">
        <x:f ca="1">IF(A74="","",IF(T74="Yes","PROTECTED",IF(V74="Yes","HOLD - DO NOT CLEAN",IF(OR(F74="",H74=""),"INCOMPLETE",IF(G74&gt;=H74,"REVIEW REQUIRED","ACTIVE")))))</x:f>
      </x:c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34"/>
      <x:c r="X74" s="23"/>
      <x:c r="Y74" s="34"/>
      <x:c r="Z74" s="23"/>
      <x:c r="AA74" s="23"/>
      <x:c r="AB74" s="23"/>
      <x:c r="AC74" s="34"/>
      <x:c r="AD74" s="34"/>
      <x:c r="AE74" s="34"/>
      <x:c r="AF74" s="23"/>
      <x:c r="AG74" s="23"/>
      <x:c r="AH74" s="23"/>
      <x:c r="AI74" s="23"/>
      <x:c r="AJ74" s="23" t="str">
        <x:f>IF(A74="","",IF(T74="Yes","BLOCKED - PROTECTED",IF(V74="Yes","BLOCKED - RETENTION/HOLD",IF(R74="Yes","REVIEW INTEGRATION DEPENDENCY",IF(L74&lt;&gt;"Yes","OWNER VALIDATION REQUIRED",IF(OR(S74="Critical",S74="High"),"BUSINESS RISK REVIEW REQUIRED",IF(C74="Production","PRODUCTION APPROVAL REQUIRED",IF(I74="ACTIVE","NOT ELIGIBLE - ACTIVE",IF(X74="Still Required","KEEP - OWNER CONFIRMED",IF(X74="Exception Requested","EXCEPTION PENDING","REVIEW FOR CLEANUP"))))))))))</x:f>
      </x:c>
    </x:row>
    <x:row r="75">
      <x:c r="A75" s="23"/>
      <x:c r="B75" s="23"/>
      <x:c r="C75" s="23"/>
      <x:c r="D75" s="23"/>
      <x:c r="E75" s="34"/>
      <x:c r="F75" s="34"/>
      <x:c r="G75" s="32" t="str">
        <x:f ca="1">IF(F75="","",MAX(0,TODAY()-F75))</x:f>
      </x:c>
      <x:c r="H75" s="32" t="str">
        <x:f>IF(C75="","",IFERROR(VLOOKUP(C75,'Organization Settings'!$A$4:$B$9,2,FALSE),""))</x:f>
      </x:c>
      <x:c r="I75" s="23" t="str">
        <x:f ca="1">IF(A75="","",IF(T75="Yes","PROTECTED",IF(V75="Yes","HOLD - DO NOT CLEAN",IF(OR(F75="",H75=""),"INCOMPLETE",IF(G75&gt;=H75,"REVIEW REQUIRED","ACTIVE")))))</x:f>
      </x:c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34"/>
      <x:c r="X75" s="23"/>
      <x:c r="Y75" s="34"/>
      <x:c r="Z75" s="23"/>
      <x:c r="AA75" s="23"/>
      <x:c r="AB75" s="23"/>
      <x:c r="AC75" s="34"/>
      <x:c r="AD75" s="34"/>
      <x:c r="AE75" s="34"/>
      <x:c r="AF75" s="23"/>
      <x:c r="AG75" s="23"/>
      <x:c r="AH75" s="23"/>
      <x:c r="AI75" s="23"/>
      <x:c r="AJ75" s="23" t="str">
        <x:f>IF(A75="","",IF(T75="Yes","BLOCKED - PROTECTED",IF(V75="Yes","BLOCKED - RETENTION/HOLD",IF(R75="Yes","REVIEW INTEGRATION DEPENDENCY",IF(L75&lt;&gt;"Yes","OWNER VALIDATION REQUIRED",IF(OR(S75="Critical",S75="High"),"BUSINESS RISK REVIEW REQUIRED",IF(C75="Production","PRODUCTION APPROVAL REQUIRED",IF(I75="ACTIVE","NOT ELIGIBLE - ACTIVE",IF(X75="Still Required","KEEP - OWNER CONFIRMED",IF(X75="Exception Requested","EXCEPTION PENDING","REVIEW FOR CLEANUP"))))))))))</x:f>
      </x:c>
    </x:row>
    <x:row r="76">
      <x:c r="A76" s="23"/>
      <x:c r="B76" s="23"/>
      <x:c r="C76" s="23"/>
      <x:c r="D76" s="23"/>
      <x:c r="E76" s="34"/>
      <x:c r="F76" s="34"/>
      <x:c r="G76" s="32" t="str">
        <x:f ca="1">IF(F76="","",MAX(0,TODAY()-F76))</x:f>
      </x:c>
      <x:c r="H76" s="32" t="str">
        <x:f>IF(C76="","",IFERROR(VLOOKUP(C76,'Organization Settings'!$A$4:$B$9,2,FALSE),""))</x:f>
      </x:c>
      <x:c r="I76" s="23" t="str">
        <x:f ca="1">IF(A76="","",IF(T76="Yes","PROTECTED",IF(V76="Yes","HOLD - DO NOT CLEAN",IF(OR(F76="",H76=""),"INCOMPLETE",IF(G76&gt;=H76,"REVIEW REQUIRED","ACTIVE")))))</x:f>
      </x:c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34"/>
      <x:c r="X76" s="23"/>
      <x:c r="Y76" s="34"/>
      <x:c r="Z76" s="23"/>
      <x:c r="AA76" s="23"/>
      <x:c r="AB76" s="23"/>
      <x:c r="AC76" s="34"/>
      <x:c r="AD76" s="34"/>
      <x:c r="AE76" s="34"/>
      <x:c r="AF76" s="23"/>
      <x:c r="AG76" s="23"/>
      <x:c r="AH76" s="23"/>
      <x:c r="AI76" s="23"/>
      <x:c r="AJ76" s="23" t="str">
        <x:f>IF(A76="","",IF(T76="Yes","BLOCKED - PROTECTED",IF(V76="Yes","BLOCKED - RETENTION/HOLD",IF(R76="Yes","REVIEW INTEGRATION DEPENDENCY",IF(L76&lt;&gt;"Yes","OWNER VALIDATION REQUIRED",IF(OR(S76="Critical",S76="High"),"BUSINESS RISK REVIEW REQUIRED",IF(C76="Production","PRODUCTION APPROVAL REQUIRED",IF(I76="ACTIVE","NOT ELIGIBLE - ACTIVE",IF(X76="Still Required","KEEP - OWNER CONFIRMED",IF(X76="Exception Requested","EXCEPTION PENDING","REVIEW FOR CLEANUP"))))))))))</x:f>
      </x:c>
    </x:row>
    <x:row r="77">
      <x:c r="A77" s="23"/>
      <x:c r="B77" s="23"/>
      <x:c r="C77" s="23"/>
      <x:c r="D77" s="23"/>
      <x:c r="E77" s="34"/>
      <x:c r="F77" s="34"/>
      <x:c r="G77" s="32" t="str">
        <x:f ca="1">IF(F77="","",MAX(0,TODAY()-F77))</x:f>
      </x:c>
      <x:c r="H77" s="32" t="str">
        <x:f>IF(C77="","",IFERROR(VLOOKUP(C77,'Organization Settings'!$A$4:$B$9,2,FALSE),""))</x:f>
      </x:c>
      <x:c r="I77" s="23" t="str">
        <x:f ca="1">IF(A77="","",IF(T77="Yes","PROTECTED",IF(V77="Yes","HOLD - DO NOT CLEAN",IF(OR(F77="",H77=""),"INCOMPLETE",IF(G77&gt;=H77,"REVIEW REQUIRED","ACTIVE")))))</x:f>
      </x:c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34"/>
      <x:c r="X77" s="23"/>
      <x:c r="Y77" s="34"/>
      <x:c r="Z77" s="23"/>
      <x:c r="AA77" s="23"/>
      <x:c r="AB77" s="23"/>
      <x:c r="AC77" s="34"/>
      <x:c r="AD77" s="34"/>
      <x:c r="AE77" s="34"/>
      <x:c r="AF77" s="23"/>
      <x:c r="AG77" s="23"/>
      <x:c r="AH77" s="23"/>
      <x:c r="AI77" s="23"/>
      <x:c r="AJ77" s="23" t="str">
        <x:f>IF(A77="","",IF(T77="Yes","BLOCKED - PROTECTED",IF(V77="Yes","BLOCKED - RETENTION/HOLD",IF(R77="Yes","REVIEW INTEGRATION DEPENDENCY",IF(L77&lt;&gt;"Yes","OWNER VALIDATION REQUIRED",IF(OR(S77="Critical",S77="High"),"BUSINESS RISK REVIEW REQUIRED",IF(C77="Production","PRODUCTION APPROVAL REQUIRED",IF(I77="ACTIVE","NOT ELIGIBLE - ACTIVE",IF(X77="Still Required","KEEP - OWNER CONFIRMED",IF(X77="Exception Requested","EXCEPTION PENDING","REVIEW FOR CLEANUP"))))))))))</x:f>
      </x:c>
    </x:row>
    <x:row r="78">
      <x:c r="A78" s="23"/>
      <x:c r="B78" s="23"/>
      <x:c r="C78" s="23"/>
      <x:c r="D78" s="23"/>
      <x:c r="E78" s="34"/>
      <x:c r="F78" s="34"/>
      <x:c r="G78" s="32" t="str">
        <x:f ca="1">IF(F78="","",MAX(0,TODAY()-F78))</x:f>
      </x:c>
      <x:c r="H78" s="32" t="str">
        <x:f>IF(C78="","",IFERROR(VLOOKUP(C78,'Organization Settings'!$A$4:$B$9,2,FALSE),""))</x:f>
      </x:c>
      <x:c r="I78" s="23" t="str">
        <x:f ca="1">IF(A78="","",IF(T78="Yes","PROTECTED",IF(V78="Yes","HOLD - DO NOT CLEAN",IF(OR(F78="",H78=""),"INCOMPLETE",IF(G78&gt;=H78,"REVIEW REQUIRED","ACTIVE")))))</x:f>
      </x:c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34"/>
      <x:c r="X78" s="23"/>
      <x:c r="Y78" s="34"/>
      <x:c r="Z78" s="23"/>
      <x:c r="AA78" s="23"/>
      <x:c r="AB78" s="23"/>
      <x:c r="AC78" s="34"/>
      <x:c r="AD78" s="34"/>
      <x:c r="AE78" s="34"/>
      <x:c r="AF78" s="23"/>
      <x:c r="AG78" s="23"/>
      <x:c r="AH78" s="23"/>
      <x:c r="AI78" s="23"/>
      <x:c r="AJ78" s="23" t="str">
        <x:f>IF(A78="","",IF(T78="Yes","BLOCKED - PROTECTED",IF(V78="Yes","BLOCKED - RETENTION/HOLD",IF(R78="Yes","REVIEW INTEGRATION DEPENDENCY",IF(L78&lt;&gt;"Yes","OWNER VALIDATION REQUIRED",IF(OR(S78="Critical",S78="High"),"BUSINESS RISK REVIEW REQUIRED",IF(C78="Production","PRODUCTION APPROVAL REQUIRED",IF(I78="ACTIVE","NOT ELIGIBLE - ACTIVE",IF(X78="Still Required","KEEP - OWNER CONFIRMED",IF(X78="Exception Requested","EXCEPTION PENDING","REVIEW FOR CLEANUP"))))))))))</x:f>
      </x:c>
    </x:row>
    <x:row r="79">
      <x:c r="A79" s="23"/>
      <x:c r="B79" s="23"/>
      <x:c r="C79" s="23"/>
      <x:c r="D79" s="23"/>
      <x:c r="E79" s="34"/>
      <x:c r="F79" s="34"/>
      <x:c r="G79" s="32" t="str">
        <x:f ca="1">IF(F79="","",MAX(0,TODAY()-F79))</x:f>
      </x:c>
      <x:c r="H79" s="32" t="str">
        <x:f>IF(C79="","",IFERROR(VLOOKUP(C79,'Organization Settings'!$A$4:$B$9,2,FALSE),""))</x:f>
      </x:c>
      <x:c r="I79" s="23" t="str">
        <x:f ca="1">IF(A79="","",IF(T79="Yes","PROTECTED",IF(V79="Yes","HOLD - DO NOT CLEAN",IF(OR(F79="",H79=""),"INCOMPLETE",IF(G79&gt;=H79,"REVIEW REQUIRED","ACTIVE")))))</x:f>
      </x:c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34"/>
      <x:c r="X79" s="23"/>
      <x:c r="Y79" s="34"/>
      <x:c r="Z79" s="23"/>
      <x:c r="AA79" s="23"/>
      <x:c r="AB79" s="23"/>
      <x:c r="AC79" s="34"/>
      <x:c r="AD79" s="34"/>
      <x:c r="AE79" s="34"/>
      <x:c r="AF79" s="23"/>
      <x:c r="AG79" s="23"/>
      <x:c r="AH79" s="23"/>
      <x:c r="AI79" s="23"/>
      <x:c r="AJ79" s="23" t="str">
        <x:f>IF(A79="","",IF(T79="Yes","BLOCKED - PROTECTED",IF(V79="Yes","BLOCKED - RETENTION/HOLD",IF(R79="Yes","REVIEW INTEGRATION DEPENDENCY",IF(L79&lt;&gt;"Yes","OWNER VALIDATION REQUIRED",IF(OR(S79="Critical",S79="High"),"BUSINESS RISK REVIEW REQUIRED",IF(C79="Production","PRODUCTION APPROVAL REQUIRED",IF(I79="ACTIVE","NOT ELIGIBLE - ACTIVE",IF(X79="Still Required","KEEP - OWNER CONFIRMED",IF(X79="Exception Requested","EXCEPTION PENDING","REVIEW FOR CLEANUP"))))))))))</x:f>
      </x:c>
    </x:row>
    <x:row r="80">
      <x:c r="A80" s="23"/>
      <x:c r="B80" s="23"/>
      <x:c r="C80" s="23"/>
      <x:c r="D80" s="23"/>
      <x:c r="E80" s="34"/>
      <x:c r="F80" s="34"/>
      <x:c r="G80" s="32" t="str">
        <x:f ca="1">IF(F80="","",MAX(0,TODAY()-F80))</x:f>
      </x:c>
      <x:c r="H80" s="32" t="str">
        <x:f>IF(C80="","",IFERROR(VLOOKUP(C80,'Organization Settings'!$A$4:$B$9,2,FALSE),""))</x:f>
      </x:c>
      <x:c r="I80" s="23" t="str">
        <x:f ca="1">IF(A80="","",IF(T80="Yes","PROTECTED",IF(V80="Yes","HOLD - DO NOT CLEAN",IF(OR(F80="",H80=""),"INCOMPLETE",IF(G80&gt;=H80,"REVIEW REQUIRED","ACTIVE")))))</x:f>
      </x:c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34"/>
      <x:c r="X80" s="23"/>
      <x:c r="Y80" s="34"/>
      <x:c r="Z80" s="23"/>
      <x:c r="AA80" s="23"/>
      <x:c r="AB80" s="23"/>
      <x:c r="AC80" s="34"/>
      <x:c r="AD80" s="34"/>
      <x:c r="AE80" s="34"/>
      <x:c r="AF80" s="23"/>
      <x:c r="AG80" s="23"/>
      <x:c r="AH80" s="23"/>
      <x:c r="AI80" s="23"/>
      <x:c r="AJ80" s="23" t="str">
        <x:f>IF(A80="","",IF(T80="Yes","BLOCKED - PROTECTED",IF(V80="Yes","BLOCKED - RETENTION/HOLD",IF(R80="Yes","REVIEW INTEGRATION DEPENDENCY",IF(L80&lt;&gt;"Yes","OWNER VALIDATION REQUIRED",IF(OR(S80="Critical",S80="High"),"BUSINESS RISK REVIEW REQUIRED",IF(C80="Production","PRODUCTION APPROVAL REQUIRED",IF(I80="ACTIVE","NOT ELIGIBLE - ACTIVE",IF(X80="Still Required","KEEP - OWNER CONFIRMED",IF(X80="Exception Requested","EXCEPTION PENDING","REVIEW FOR CLEANUP"))))))))))</x:f>
      </x:c>
    </x:row>
    <x:row r="81">
      <x:c r="A81" s="23"/>
      <x:c r="B81" s="23"/>
      <x:c r="C81" s="23"/>
      <x:c r="D81" s="23"/>
      <x:c r="E81" s="34"/>
      <x:c r="F81" s="34"/>
      <x:c r="G81" s="32" t="str">
        <x:f ca="1">IF(F81="","",MAX(0,TODAY()-F81))</x:f>
      </x:c>
      <x:c r="H81" s="32" t="str">
        <x:f>IF(C81="","",IFERROR(VLOOKUP(C81,'Organization Settings'!$A$4:$B$9,2,FALSE),""))</x:f>
      </x:c>
      <x:c r="I81" s="23" t="str">
        <x:f ca="1">IF(A81="","",IF(T81="Yes","PROTECTED",IF(V81="Yes","HOLD - DO NOT CLEAN",IF(OR(F81="",H81=""),"INCOMPLETE",IF(G81&gt;=H81,"REVIEW REQUIRED","ACTIVE")))))</x:f>
      </x:c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34"/>
      <x:c r="X81" s="23"/>
      <x:c r="Y81" s="34"/>
      <x:c r="Z81" s="23"/>
      <x:c r="AA81" s="23"/>
      <x:c r="AB81" s="23"/>
      <x:c r="AC81" s="34"/>
      <x:c r="AD81" s="34"/>
      <x:c r="AE81" s="34"/>
      <x:c r="AF81" s="23"/>
      <x:c r="AG81" s="23"/>
      <x:c r="AH81" s="23"/>
      <x:c r="AI81" s="23"/>
      <x:c r="AJ81" s="23" t="str">
        <x:f>IF(A81="","",IF(T81="Yes","BLOCKED - PROTECTED",IF(V81="Yes","BLOCKED - RETENTION/HOLD",IF(R81="Yes","REVIEW INTEGRATION DEPENDENCY",IF(L81&lt;&gt;"Yes","OWNER VALIDATION REQUIRED",IF(OR(S81="Critical",S81="High"),"BUSINESS RISK REVIEW REQUIRED",IF(C81="Production","PRODUCTION APPROVAL REQUIRED",IF(I81="ACTIVE","NOT ELIGIBLE - ACTIVE",IF(X81="Still Required","KEEP - OWNER CONFIRMED",IF(X81="Exception Requested","EXCEPTION PENDING","REVIEW FOR CLEANUP"))))))))))</x:f>
      </x:c>
    </x:row>
    <x:row r="82">
      <x:c r="A82" s="23"/>
      <x:c r="B82" s="23"/>
      <x:c r="C82" s="23"/>
      <x:c r="D82" s="23"/>
      <x:c r="E82" s="34"/>
      <x:c r="F82" s="34"/>
      <x:c r="G82" s="32" t="str">
        <x:f ca="1">IF(F82="","",MAX(0,TODAY()-F82))</x:f>
      </x:c>
      <x:c r="H82" s="32" t="str">
        <x:f>IF(C82="","",IFERROR(VLOOKUP(C82,'Organization Settings'!$A$4:$B$9,2,FALSE),""))</x:f>
      </x:c>
      <x:c r="I82" s="23" t="str">
        <x:f ca="1">IF(A82="","",IF(T82="Yes","PROTECTED",IF(V82="Yes","HOLD - DO NOT CLEAN",IF(OR(F82="",H82=""),"INCOMPLETE",IF(G82&gt;=H82,"REVIEW REQUIRED","ACTIVE")))))</x:f>
      </x:c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34"/>
      <x:c r="X82" s="23"/>
      <x:c r="Y82" s="34"/>
      <x:c r="Z82" s="23"/>
      <x:c r="AA82" s="23"/>
      <x:c r="AB82" s="23"/>
      <x:c r="AC82" s="34"/>
      <x:c r="AD82" s="34"/>
      <x:c r="AE82" s="34"/>
      <x:c r="AF82" s="23"/>
      <x:c r="AG82" s="23"/>
      <x:c r="AH82" s="23"/>
      <x:c r="AI82" s="23"/>
      <x:c r="AJ82" s="23" t="str">
        <x:f>IF(A82="","",IF(T82="Yes","BLOCKED - PROTECTED",IF(V82="Yes","BLOCKED - RETENTION/HOLD",IF(R82="Yes","REVIEW INTEGRATION DEPENDENCY",IF(L82&lt;&gt;"Yes","OWNER VALIDATION REQUIRED",IF(OR(S82="Critical",S82="High"),"BUSINESS RISK REVIEW REQUIRED",IF(C82="Production","PRODUCTION APPROVAL REQUIRED",IF(I82="ACTIVE","NOT ELIGIBLE - ACTIVE",IF(X82="Still Required","KEEP - OWNER CONFIRMED",IF(X82="Exception Requested","EXCEPTION PENDING","REVIEW FOR CLEANUP"))))))))))</x:f>
      </x:c>
    </x:row>
    <x:row r="83">
      <x:c r="A83" s="23"/>
      <x:c r="B83" s="23"/>
      <x:c r="C83" s="23"/>
      <x:c r="D83" s="23"/>
      <x:c r="E83" s="34"/>
      <x:c r="F83" s="34"/>
      <x:c r="G83" s="32" t="str">
        <x:f ca="1">IF(F83="","",MAX(0,TODAY()-F83))</x:f>
      </x:c>
      <x:c r="H83" s="32" t="str">
        <x:f>IF(C83="","",IFERROR(VLOOKUP(C83,'Organization Settings'!$A$4:$B$9,2,FALSE),""))</x:f>
      </x:c>
      <x:c r="I83" s="23" t="str">
        <x:f ca="1">IF(A83="","",IF(T83="Yes","PROTECTED",IF(V83="Yes","HOLD - DO NOT CLEAN",IF(OR(F83="",H83=""),"INCOMPLETE",IF(G83&gt;=H83,"REVIEW REQUIRED","ACTIVE")))))</x:f>
      </x:c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34"/>
      <x:c r="X83" s="23"/>
      <x:c r="Y83" s="34"/>
      <x:c r="Z83" s="23"/>
      <x:c r="AA83" s="23"/>
      <x:c r="AB83" s="23"/>
      <x:c r="AC83" s="34"/>
      <x:c r="AD83" s="34"/>
      <x:c r="AE83" s="34"/>
      <x:c r="AF83" s="23"/>
      <x:c r="AG83" s="23"/>
      <x:c r="AH83" s="23"/>
      <x:c r="AI83" s="23"/>
      <x:c r="AJ83" s="23" t="str">
        <x:f>IF(A83="","",IF(T83="Yes","BLOCKED - PROTECTED",IF(V83="Yes","BLOCKED - RETENTION/HOLD",IF(R83="Yes","REVIEW INTEGRATION DEPENDENCY",IF(L83&lt;&gt;"Yes","OWNER VALIDATION REQUIRED",IF(OR(S83="Critical",S83="High"),"BUSINESS RISK REVIEW REQUIRED",IF(C83="Production","PRODUCTION APPROVAL REQUIRED",IF(I83="ACTIVE","NOT ELIGIBLE - ACTIVE",IF(X83="Still Required","KEEP - OWNER CONFIRMED",IF(X83="Exception Requested","EXCEPTION PENDING","REVIEW FOR CLEANUP"))))))))))</x:f>
      </x:c>
    </x:row>
    <x:row r="84">
      <x:c r="A84" s="23"/>
      <x:c r="B84" s="23"/>
      <x:c r="C84" s="23"/>
      <x:c r="D84" s="23"/>
      <x:c r="E84" s="34"/>
      <x:c r="F84" s="34"/>
      <x:c r="G84" s="32" t="str">
        <x:f ca="1">IF(F84="","",MAX(0,TODAY()-F84))</x:f>
      </x:c>
      <x:c r="H84" s="32" t="str">
        <x:f>IF(C84="","",IFERROR(VLOOKUP(C84,'Organization Settings'!$A$4:$B$9,2,FALSE),""))</x:f>
      </x:c>
      <x:c r="I84" s="23" t="str">
        <x:f ca="1">IF(A84="","",IF(T84="Yes","PROTECTED",IF(V84="Yes","HOLD - DO NOT CLEAN",IF(OR(F84="",H84=""),"INCOMPLETE",IF(G84&gt;=H84,"REVIEW REQUIRED","ACTIVE")))))</x:f>
      </x:c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34"/>
      <x:c r="X84" s="23"/>
      <x:c r="Y84" s="34"/>
      <x:c r="Z84" s="23"/>
      <x:c r="AA84" s="23"/>
      <x:c r="AB84" s="23"/>
      <x:c r="AC84" s="34"/>
      <x:c r="AD84" s="34"/>
      <x:c r="AE84" s="34"/>
      <x:c r="AF84" s="23"/>
      <x:c r="AG84" s="23"/>
      <x:c r="AH84" s="23"/>
      <x:c r="AI84" s="23"/>
      <x:c r="AJ84" s="23" t="str">
        <x:f>IF(A84="","",IF(T84="Yes","BLOCKED - PROTECTED",IF(V84="Yes","BLOCKED - RETENTION/HOLD",IF(R84="Yes","REVIEW INTEGRATION DEPENDENCY",IF(L84&lt;&gt;"Yes","OWNER VALIDATION REQUIRED",IF(OR(S84="Critical",S84="High"),"BUSINESS RISK REVIEW REQUIRED",IF(C84="Production","PRODUCTION APPROVAL REQUIRED",IF(I84="ACTIVE","NOT ELIGIBLE - ACTIVE",IF(X84="Still Required","KEEP - OWNER CONFIRMED",IF(X84="Exception Requested","EXCEPTION PENDING","REVIEW FOR CLEANUP"))))))))))</x:f>
      </x:c>
    </x:row>
    <x:row r="85">
      <x:c r="A85" s="23"/>
      <x:c r="B85" s="23"/>
      <x:c r="C85" s="23"/>
      <x:c r="D85" s="23"/>
      <x:c r="E85" s="34"/>
      <x:c r="F85" s="34"/>
      <x:c r="G85" s="32" t="str">
        <x:f ca="1">IF(F85="","",MAX(0,TODAY()-F85))</x:f>
      </x:c>
      <x:c r="H85" s="32" t="str">
        <x:f>IF(C85="","",IFERROR(VLOOKUP(C85,'Organization Settings'!$A$4:$B$9,2,FALSE),""))</x:f>
      </x:c>
      <x:c r="I85" s="23" t="str">
        <x:f ca="1">IF(A85="","",IF(T85="Yes","PROTECTED",IF(V85="Yes","HOLD - DO NOT CLEAN",IF(OR(F85="",H85=""),"INCOMPLETE",IF(G85&gt;=H85,"REVIEW REQUIRED","ACTIVE")))))</x:f>
      </x:c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34"/>
      <x:c r="X85" s="23"/>
      <x:c r="Y85" s="34"/>
      <x:c r="Z85" s="23"/>
      <x:c r="AA85" s="23"/>
      <x:c r="AB85" s="23"/>
      <x:c r="AC85" s="34"/>
      <x:c r="AD85" s="34"/>
      <x:c r="AE85" s="34"/>
      <x:c r="AF85" s="23"/>
      <x:c r="AG85" s="23"/>
      <x:c r="AH85" s="23"/>
      <x:c r="AI85" s="23"/>
      <x:c r="AJ85" s="23" t="str">
        <x:f>IF(A85="","",IF(T85="Yes","BLOCKED - PROTECTED",IF(V85="Yes","BLOCKED - RETENTION/HOLD",IF(R85="Yes","REVIEW INTEGRATION DEPENDENCY",IF(L85&lt;&gt;"Yes","OWNER VALIDATION REQUIRED",IF(OR(S85="Critical",S85="High"),"BUSINESS RISK REVIEW REQUIRED",IF(C85="Production","PRODUCTION APPROVAL REQUIRED",IF(I85="ACTIVE","NOT ELIGIBLE - ACTIVE",IF(X85="Still Required","KEEP - OWNER CONFIRMED",IF(X85="Exception Requested","EXCEPTION PENDING","REVIEW FOR CLEANUP"))))))))))</x:f>
      </x:c>
    </x:row>
    <x:row r="86">
      <x:c r="A86" s="23"/>
      <x:c r="B86" s="23"/>
      <x:c r="C86" s="23"/>
      <x:c r="D86" s="23"/>
      <x:c r="E86" s="34"/>
      <x:c r="F86" s="34"/>
      <x:c r="G86" s="32" t="str">
        <x:f ca="1">IF(F86="","",MAX(0,TODAY()-F86))</x:f>
      </x:c>
      <x:c r="H86" s="32" t="str">
        <x:f>IF(C86="","",IFERROR(VLOOKUP(C86,'Organization Settings'!$A$4:$B$9,2,FALSE),""))</x:f>
      </x:c>
      <x:c r="I86" s="23" t="str">
        <x:f ca="1">IF(A86="","",IF(T86="Yes","PROTECTED",IF(V86="Yes","HOLD - DO NOT CLEAN",IF(OR(F86="",H86=""),"INCOMPLETE",IF(G86&gt;=H86,"REVIEW REQUIRED","ACTIVE")))))</x:f>
      </x:c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34"/>
      <x:c r="X86" s="23"/>
      <x:c r="Y86" s="34"/>
      <x:c r="Z86" s="23"/>
      <x:c r="AA86" s="23"/>
      <x:c r="AB86" s="23"/>
      <x:c r="AC86" s="34"/>
      <x:c r="AD86" s="34"/>
      <x:c r="AE86" s="34"/>
      <x:c r="AF86" s="23"/>
      <x:c r="AG86" s="23"/>
      <x:c r="AH86" s="23"/>
      <x:c r="AI86" s="23"/>
      <x:c r="AJ86" s="23" t="str">
        <x:f>IF(A86="","",IF(T86="Yes","BLOCKED - PROTECTED",IF(V86="Yes","BLOCKED - RETENTION/HOLD",IF(R86="Yes","REVIEW INTEGRATION DEPENDENCY",IF(L86&lt;&gt;"Yes","OWNER VALIDATION REQUIRED",IF(OR(S86="Critical",S86="High"),"BUSINESS RISK REVIEW REQUIRED",IF(C86="Production","PRODUCTION APPROVAL REQUIRED",IF(I86="ACTIVE","NOT ELIGIBLE - ACTIVE",IF(X86="Still Required","KEEP - OWNER CONFIRMED",IF(X86="Exception Requested","EXCEPTION PENDING","REVIEW FOR CLEANUP"))))))))))</x:f>
      </x:c>
    </x:row>
    <x:row r="87">
      <x:c r="A87" s="23"/>
      <x:c r="B87" s="23"/>
      <x:c r="C87" s="23"/>
      <x:c r="D87" s="23"/>
      <x:c r="E87" s="34"/>
      <x:c r="F87" s="34"/>
      <x:c r="G87" s="32" t="str">
        <x:f ca="1">IF(F87="","",MAX(0,TODAY()-F87))</x:f>
      </x:c>
      <x:c r="H87" s="32" t="str">
        <x:f>IF(C87="","",IFERROR(VLOOKUP(C87,'Organization Settings'!$A$4:$B$9,2,FALSE),""))</x:f>
      </x:c>
      <x:c r="I87" s="23" t="str">
        <x:f ca="1">IF(A87="","",IF(T87="Yes","PROTECTED",IF(V87="Yes","HOLD - DO NOT CLEAN",IF(OR(F87="",H87=""),"INCOMPLETE",IF(G87&gt;=H87,"REVIEW REQUIRED","ACTIVE")))))</x:f>
      </x:c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34"/>
      <x:c r="X87" s="23"/>
      <x:c r="Y87" s="34"/>
      <x:c r="Z87" s="23"/>
      <x:c r="AA87" s="23"/>
      <x:c r="AB87" s="23"/>
      <x:c r="AC87" s="34"/>
      <x:c r="AD87" s="34"/>
      <x:c r="AE87" s="34"/>
      <x:c r="AF87" s="23"/>
      <x:c r="AG87" s="23"/>
      <x:c r="AH87" s="23"/>
      <x:c r="AI87" s="23"/>
      <x:c r="AJ87" s="23" t="str">
        <x:f>IF(A87="","",IF(T87="Yes","BLOCKED - PROTECTED",IF(V87="Yes","BLOCKED - RETENTION/HOLD",IF(R87="Yes","REVIEW INTEGRATION DEPENDENCY",IF(L87&lt;&gt;"Yes","OWNER VALIDATION REQUIRED",IF(OR(S87="Critical",S87="High"),"BUSINESS RISK REVIEW REQUIRED",IF(C87="Production","PRODUCTION APPROVAL REQUIRED",IF(I87="ACTIVE","NOT ELIGIBLE - ACTIVE",IF(X87="Still Required","KEEP - OWNER CONFIRMED",IF(X87="Exception Requested","EXCEPTION PENDING","REVIEW FOR CLEANUP"))))))))))</x:f>
      </x:c>
    </x:row>
    <x:row r="88">
      <x:c r="A88" s="23"/>
      <x:c r="B88" s="23"/>
      <x:c r="C88" s="23"/>
      <x:c r="D88" s="23"/>
      <x:c r="E88" s="34"/>
      <x:c r="F88" s="34"/>
      <x:c r="G88" s="32" t="str">
        <x:f ca="1">IF(F88="","",MAX(0,TODAY()-F88))</x:f>
      </x:c>
      <x:c r="H88" s="32" t="str">
        <x:f>IF(C88="","",IFERROR(VLOOKUP(C88,'Organization Settings'!$A$4:$B$9,2,FALSE),""))</x:f>
      </x:c>
      <x:c r="I88" s="23" t="str">
        <x:f ca="1">IF(A88="","",IF(T88="Yes","PROTECTED",IF(V88="Yes","HOLD - DO NOT CLEAN",IF(OR(F88="",H88=""),"INCOMPLETE",IF(G88&gt;=H88,"REVIEW REQUIRED","ACTIVE")))))</x:f>
      </x:c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34"/>
      <x:c r="X88" s="23"/>
      <x:c r="Y88" s="34"/>
      <x:c r="Z88" s="23"/>
      <x:c r="AA88" s="23"/>
      <x:c r="AB88" s="23"/>
      <x:c r="AC88" s="34"/>
      <x:c r="AD88" s="34"/>
      <x:c r="AE88" s="34"/>
      <x:c r="AF88" s="23"/>
      <x:c r="AG88" s="23"/>
      <x:c r="AH88" s="23"/>
      <x:c r="AI88" s="23"/>
      <x:c r="AJ88" s="23" t="str">
        <x:f>IF(A88="","",IF(T88="Yes","BLOCKED - PROTECTED",IF(V88="Yes","BLOCKED - RETENTION/HOLD",IF(R88="Yes","REVIEW INTEGRATION DEPENDENCY",IF(L88&lt;&gt;"Yes","OWNER VALIDATION REQUIRED",IF(OR(S88="Critical",S88="High"),"BUSINESS RISK REVIEW REQUIRED",IF(C88="Production","PRODUCTION APPROVAL REQUIRED",IF(I88="ACTIVE","NOT ELIGIBLE - ACTIVE",IF(X88="Still Required","KEEP - OWNER CONFIRMED",IF(X88="Exception Requested","EXCEPTION PENDING","REVIEW FOR CLEANUP"))))))))))</x:f>
      </x:c>
    </x:row>
    <x:row r="89">
      <x:c r="A89" s="23"/>
      <x:c r="B89" s="23"/>
      <x:c r="C89" s="23"/>
      <x:c r="D89" s="23"/>
      <x:c r="E89" s="34"/>
      <x:c r="F89" s="34"/>
      <x:c r="G89" s="32" t="str">
        <x:f ca="1">IF(F89="","",MAX(0,TODAY()-F89))</x:f>
      </x:c>
      <x:c r="H89" s="32" t="str">
        <x:f>IF(C89="","",IFERROR(VLOOKUP(C89,'Organization Settings'!$A$4:$B$9,2,FALSE),""))</x:f>
      </x:c>
      <x:c r="I89" s="23" t="str">
        <x:f ca="1">IF(A89="","",IF(T89="Yes","PROTECTED",IF(V89="Yes","HOLD - DO NOT CLEAN",IF(OR(F89="",H89=""),"INCOMPLETE",IF(G89&gt;=H89,"REVIEW REQUIRED","ACTIVE")))))</x:f>
      </x:c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34"/>
      <x:c r="X89" s="23"/>
      <x:c r="Y89" s="34"/>
      <x:c r="Z89" s="23"/>
      <x:c r="AA89" s="23"/>
      <x:c r="AB89" s="23"/>
      <x:c r="AC89" s="34"/>
      <x:c r="AD89" s="34"/>
      <x:c r="AE89" s="34"/>
      <x:c r="AF89" s="23"/>
      <x:c r="AG89" s="23"/>
      <x:c r="AH89" s="23"/>
      <x:c r="AI89" s="23"/>
      <x:c r="AJ89" s="23" t="str">
        <x:f>IF(A89="","",IF(T89="Yes","BLOCKED - PROTECTED",IF(V89="Yes","BLOCKED - RETENTION/HOLD",IF(R89="Yes","REVIEW INTEGRATION DEPENDENCY",IF(L89&lt;&gt;"Yes","OWNER VALIDATION REQUIRED",IF(OR(S89="Critical",S89="High"),"BUSINESS RISK REVIEW REQUIRED",IF(C89="Production","PRODUCTION APPROVAL REQUIRED",IF(I89="ACTIVE","NOT ELIGIBLE - ACTIVE",IF(X89="Still Required","KEEP - OWNER CONFIRMED",IF(X89="Exception Requested","EXCEPTION PENDING","REVIEW FOR CLEANUP"))))))))))</x:f>
      </x:c>
    </x:row>
    <x:row r="90">
      <x:c r="A90" s="23"/>
      <x:c r="B90" s="23"/>
      <x:c r="C90" s="23"/>
      <x:c r="D90" s="23"/>
      <x:c r="E90" s="34"/>
      <x:c r="F90" s="34"/>
      <x:c r="G90" s="32" t="str">
        <x:f ca="1">IF(F90="","",MAX(0,TODAY()-F90))</x:f>
      </x:c>
      <x:c r="H90" s="32" t="str">
        <x:f>IF(C90="","",IFERROR(VLOOKUP(C90,'Organization Settings'!$A$4:$B$9,2,FALSE),""))</x:f>
      </x:c>
      <x:c r="I90" s="23" t="str">
        <x:f ca="1">IF(A90="","",IF(T90="Yes","PROTECTED",IF(V90="Yes","HOLD - DO NOT CLEAN",IF(OR(F90="",H90=""),"INCOMPLETE",IF(G90&gt;=H90,"REVIEW REQUIRED","ACTIVE")))))</x:f>
      </x:c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34"/>
      <x:c r="X90" s="23"/>
      <x:c r="Y90" s="34"/>
      <x:c r="Z90" s="23"/>
      <x:c r="AA90" s="23"/>
      <x:c r="AB90" s="23"/>
      <x:c r="AC90" s="34"/>
      <x:c r="AD90" s="34"/>
      <x:c r="AE90" s="34"/>
      <x:c r="AF90" s="23"/>
      <x:c r="AG90" s="23"/>
      <x:c r="AH90" s="23"/>
      <x:c r="AI90" s="23"/>
      <x:c r="AJ90" s="23" t="str">
        <x:f>IF(A90="","",IF(T90="Yes","BLOCKED - PROTECTED",IF(V90="Yes","BLOCKED - RETENTION/HOLD",IF(R90="Yes","REVIEW INTEGRATION DEPENDENCY",IF(L90&lt;&gt;"Yes","OWNER VALIDATION REQUIRED",IF(OR(S90="Critical",S90="High"),"BUSINESS RISK REVIEW REQUIRED",IF(C90="Production","PRODUCTION APPROVAL REQUIRED",IF(I90="ACTIVE","NOT ELIGIBLE - ACTIVE",IF(X90="Still Required","KEEP - OWNER CONFIRMED",IF(X90="Exception Requested","EXCEPTION PENDING","REVIEW FOR CLEANUP"))))))))))</x:f>
      </x:c>
    </x:row>
    <x:row r="91">
      <x:c r="A91" s="23"/>
      <x:c r="B91" s="23"/>
      <x:c r="C91" s="23"/>
      <x:c r="D91" s="23"/>
      <x:c r="E91" s="34"/>
      <x:c r="F91" s="34"/>
      <x:c r="G91" s="32" t="str">
        <x:f ca="1">IF(F91="","",MAX(0,TODAY()-F91))</x:f>
      </x:c>
      <x:c r="H91" s="32" t="str">
        <x:f>IF(C91="","",IFERROR(VLOOKUP(C91,'Organization Settings'!$A$4:$B$9,2,FALSE),""))</x:f>
      </x:c>
      <x:c r="I91" s="23" t="str">
        <x:f ca="1">IF(A91="","",IF(T91="Yes","PROTECTED",IF(V91="Yes","HOLD - DO NOT CLEAN",IF(OR(F91="",H91=""),"INCOMPLETE",IF(G91&gt;=H91,"REVIEW REQUIRED","ACTIVE")))))</x:f>
      </x:c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34"/>
      <x:c r="X91" s="23"/>
      <x:c r="Y91" s="34"/>
      <x:c r="Z91" s="23"/>
      <x:c r="AA91" s="23"/>
      <x:c r="AB91" s="23"/>
      <x:c r="AC91" s="34"/>
      <x:c r="AD91" s="34"/>
      <x:c r="AE91" s="34"/>
      <x:c r="AF91" s="23"/>
      <x:c r="AG91" s="23"/>
      <x:c r="AH91" s="23"/>
      <x:c r="AI91" s="23"/>
      <x:c r="AJ91" s="23" t="str">
        <x:f>IF(A91="","",IF(T91="Yes","BLOCKED - PROTECTED",IF(V91="Yes","BLOCKED - RETENTION/HOLD",IF(R91="Yes","REVIEW INTEGRATION DEPENDENCY",IF(L91&lt;&gt;"Yes","OWNER VALIDATION REQUIRED",IF(OR(S91="Critical",S91="High"),"BUSINESS RISK REVIEW REQUIRED",IF(C91="Production","PRODUCTION APPROVAL REQUIRED",IF(I91="ACTIVE","NOT ELIGIBLE - ACTIVE",IF(X91="Still Required","KEEP - OWNER CONFIRMED",IF(X91="Exception Requested","EXCEPTION PENDING","REVIEW FOR CLEANUP"))))))))))</x:f>
      </x:c>
    </x:row>
    <x:row r="92">
      <x:c r="A92" s="23"/>
      <x:c r="B92" s="23"/>
      <x:c r="C92" s="23"/>
      <x:c r="D92" s="23"/>
      <x:c r="E92" s="34"/>
      <x:c r="F92" s="34"/>
      <x:c r="G92" s="32" t="str">
        <x:f ca="1">IF(F92="","",MAX(0,TODAY()-F92))</x:f>
      </x:c>
      <x:c r="H92" s="32" t="str">
        <x:f>IF(C92="","",IFERROR(VLOOKUP(C92,'Organization Settings'!$A$4:$B$9,2,FALSE),""))</x:f>
      </x:c>
      <x:c r="I92" s="23" t="str">
        <x:f ca="1">IF(A92="","",IF(T92="Yes","PROTECTED",IF(V92="Yes","HOLD - DO NOT CLEAN",IF(OR(F92="",H92=""),"INCOMPLETE",IF(G92&gt;=H92,"REVIEW REQUIRED","ACTIVE")))))</x:f>
      </x:c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34"/>
      <x:c r="X92" s="23"/>
      <x:c r="Y92" s="34"/>
      <x:c r="Z92" s="23"/>
      <x:c r="AA92" s="23"/>
      <x:c r="AB92" s="23"/>
      <x:c r="AC92" s="34"/>
      <x:c r="AD92" s="34"/>
      <x:c r="AE92" s="34"/>
      <x:c r="AF92" s="23"/>
      <x:c r="AG92" s="23"/>
      <x:c r="AH92" s="23"/>
      <x:c r="AI92" s="23"/>
      <x:c r="AJ92" s="23" t="str">
        <x:f>IF(A92="","",IF(T92="Yes","BLOCKED - PROTECTED",IF(V92="Yes","BLOCKED - RETENTION/HOLD",IF(R92="Yes","REVIEW INTEGRATION DEPENDENCY",IF(L92&lt;&gt;"Yes","OWNER VALIDATION REQUIRED",IF(OR(S92="Critical",S92="High"),"BUSINESS RISK REVIEW REQUIRED",IF(C92="Production","PRODUCTION APPROVAL REQUIRED",IF(I92="ACTIVE","NOT ELIGIBLE - ACTIVE",IF(X92="Still Required","KEEP - OWNER CONFIRMED",IF(X92="Exception Requested","EXCEPTION PENDING","REVIEW FOR CLEANUP"))))))))))</x:f>
      </x:c>
    </x:row>
    <x:row r="93">
      <x:c r="A93" s="23"/>
      <x:c r="B93" s="23"/>
      <x:c r="C93" s="23"/>
      <x:c r="D93" s="23"/>
      <x:c r="E93" s="34"/>
      <x:c r="F93" s="34"/>
      <x:c r="G93" s="32" t="str">
        <x:f ca="1">IF(F93="","",MAX(0,TODAY()-F93))</x:f>
      </x:c>
      <x:c r="H93" s="32" t="str">
        <x:f>IF(C93="","",IFERROR(VLOOKUP(C93,'Organization Settings'!$A$4:$B$9,2,FALSE),""))</x:f>
      </x:c>
      <x:c r="I93" s="23" t="str">
        <x:f ca="1">IF(A93="","",IF(T93="Yes","PROTECTED",IF(V93="Yes","HOLD - DO NOT CLEAN",IF(OR(F93="",H93=""),"INCOMPLETE",IF(G93&gt;=H93,"REVIEW REQUIRED","ACTIVE")))))</x:f>
      </x:c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34"/>
      <x:c r="X93" s="23"/>
      <x:c r="Y93" s="34"/>
      <x:c r="Z93" s="23"/>
      <x:c r="AA93" s="23"/>
      <x:c r="AB93" s="23"/>
      <x:c r="AC93" s="34"/>
      <x:c r="AD93" s="34"/>
      <x:c r="AE93" s="34"/>
      <x:c r="AF93" s="23"/>
      <x:c r="AG93" s="23"/>
      <x:c r="AH93" s="23"/>
      <x:c r="AI93" s="23"/>
      <x:c r="AJ93" s="23" t="str">
        <x:f>IF(A93="","",IF(T93="Yes","BLOCKED - PROTECTED",IF(V93="Yes","BLOCKED - RETENTION/HOLD",IF(R93="Yes","REVIEW INTEGRATION DEPENDENCY",IF(L93&lt;&gt;"Yes","OWNER VALIDATION REQUIRED",IF(OR(S93="Critical",S93="High"),"BUSINESS RISK REVIEW REQUIRED",IF(C93="Production","PRODUCTION APPROVAL REQUIRED",IF(I93="ACTIVE","NOT ELIGIBLE - ACTIVE",IF(X93="Still Required","KEEP - OWNER CONFIRMED",IF(X93="Exception Requested","EXCEPTION PENDING","REVIEW FOR CLEANUP"))))))))))</x:f>
      </x:c>
    </x:row>
    <x:row r="94">
      <x:c r="A94" s="23"/>
      <x:c r="B94" s="23"/>
      <x:c r="C94" s="23"/>
      <x:c r="D94" s="23"/>
      <x:c r="E94" s="34"/>
      <x:c r="F94" s="34"/>
      <x:c r="G94" s="32" t="str">
        <x:f ca="1">IF(F94="","",MAX(0,TODAY()-F94))</x:f>
      </x:c>
      <x:c r="H94" s="32" t="str">
        <x:f>IF(C94="","",IFERROR(VLOOKUP(C94,'Organization Settings'!$A$4:$B$9,2,FALSE),""))</x:f>
      </x:c>
      <x:c r="I94" s="23" t="str">
        <x:f ca="1">IF(A94="","",IF(T94="Yes","PROTECTED",IF(V94="Yes","HOLD - DO NOT CLEAN",IF(OR(F94="",H94=""),"INCOMPLETE",IF(G94&gt;=H94,"REVIEW REQUIRED","ACTIVE")))))</x:f>
      </x:c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34"/>
      <x:c r="X94" s="23"/>
      <x:c r="Y94" s="34"/>
      <x:c r="Z94" s="23"/>
      <x:c r="AA94" s="23"/>
      <x:c r="AB94" s="23"/>
      <x:c r="AC94" s="34"/>
      <x:c r="AD94" s="34"/>
      <x:c r="AE94" s="34"/>
      <x:c r="AF94" s="23"/>
      <x:c r="AG94" s="23"/>
      <x:c r="AH94" s="23"/>
      <x:c r="AI94" s="23"/>
      <x:c r="AJ94" s="23" t="str">
        <x:f>IF(A94="","",IF(T94="Yes","BLOCKED - PROTECTED",IF(V94="Yes","BLOCKED - RETENTION/HOLD",IF(R94="Yes","REVIEW INTEGRATION DEPENDENCY",IF(L94&lt;&gt;"Yes","OWNER VALIDATION REQUIRED",IF(OR(S94="Critical",S94="High"),"BUSINESS RISK REVIEW REQUIRED",IF(C94="Production","PRODUCTION APPROVAL REQUIRED",IF(I94="ACTIVE","NOT ELIGIBLE - ACTIVE",IF(X94="Still Required","KEEP - OWNER CONFIRMED",IF(X94="Exception Requested","EXCEPTION PENDING","REVIEW FOR CLEANUP"))))))))))</x:f>
      </x:c>
    </x:row>
    <x:row r="95">
      <x:c r="A95" s="23"/>
      <x:c r="B95" s="23"/>
      <x:c r="C95" s="23"/>
      <x:c r="D95" s="23"/>
      <x:c r="E95" s="34"/>
      <x:c r="F95" s="34"/>
      <x:c r="G95" s="32" t="str">
        <x:f ca="1">IF(F95="","",MAX(0,TODAY()-F95))</x:f>
      </x:c>
      <x:c r="H95" s="32" t="str">
        <x:f>IF(C95="","",IFERROR(VLOOKUP(C95,'Organization Settings'!$A$4:$B$9,2,FALSE),""))</x:f>
      </x:c>
      <x:c r="I95" s="23" t="str">
        <x:f ca="1">IF(A95="","",IF(T95="Yes","PROTECTED",IF(V95="Yes","HOLD - DO NOT CLEAN",IF(OR(F95="",H95=""),"INCOMPLETE",IF(G95&gt;=H95,"REVIEW REQUIRED","ACTIVE")))))</x:f>
      </x:c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34"/>
      <x:c r="X95" s="23"/>
      <x:c r="Y95" s="34"/>
      <x:c r="Z95" s="23"/>
      <x:c r="AA95" s="23"/>
      <x:c r="AB95" s="23"/>
      <x:c r="AC95" s="34"/>
      <x:c r="AD95" s="34"/>
      <x:c r="AE95" s="34"/>
      <x:c r="AF95" s="23"/>
      <x:c r="AG95" s="23"/>
      <x:c r="AH95" s="23"/>
      <x:c r="AI95" s="23"/>
      <x:c r="AJ95" s="23" t="str">
        <x:f>IF(A95="","",IF(T95="Yes","BLOCKED - PROTECTED",IF(V95="Yes","BLOCKED - RETENTION/HOLD",IF(R95="Yes","REVIEW INTEGRATION DEPENDENCY",IF(L95&lt;&gt;"Yes","OWNER VALIDATION REQUIRED",IF(OR(S95="Critical",S95="High"),"BUSINESS RISK REVIEW REQUIRED",IF(C95="Production","PRODUCTION APPROVAL REQUIRED",IF(I95="ACTIVE","NOT ELIGIBLE - ACTIVE",IF(X95="Still Required","KEEP - OWNER CONFIRMED",IF(X95="Exception Requested","EXCEPTION PENDING","REVIEW FOR CLEANUP"))))))))))</x:f>
      </x:c>
    </x:row>
    <x:row r="96">
      <x:c r="A96" s="23"/>
      <x:c r="B96" s="23"/>
      <x:c r="C96" s="23"/>
      <x:c r="D96" s="23"/>
      <x:c r="E96" s="34"/>
      <x:c r="F96" s="34"/>
      <x:c r="G96" s="32" t="str">
        <x:f ca="1">IF(F96="","",MAX(0,TODAY()-F96))</x:f>
      </x:c>
      <x:c r="H96" s="32" t="str">
        <x:f>IF(C96="","",IFERROR(VLOOKUP(C96,'Organization Settings'!$A$4:$B$9,2,FALSE),""))</x:f>
      </x:c>
      <x:c r="I96" s="23" t="str">
        <x:f ca="1">IF(A96="","",IF(T96="Yes","PROTECTED",IF(V96="Yes","HOLD - DO NOT CLEAN",IF(OR(F96="",H96=""),"INCOMPLETE",IF(G96&gt;=H96,"REVIEW REQUIRED","ACTIVE")))))</x:f>
      </x:c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34"/>
      <x:c r="X96" s="23"/>
      <x:c r="Y96" s="34"/>
      <x:c r="Z96" s="23"/>
      <x:c r="AA96" s="23"/>
      <x:c r="AB96" s="23"/>
      <x:c r="AC96" s="34"/>
      <x:c r="AD96" s="34"/>
      <x:c r="AE96" s="34"/>
      <x:c r="AF96" s="23"/>
      <x:c r="AG96" s="23"/>
      <x:c r="AH96" s="23"/>
      <x:c r="AI96" s="23"/>
      <x:c r="AJ96" s="23" t="str">
        <x:f>IF(A96="","",IF(T96="Yes","BLOCKED - PROTECTED",IF(V96="Yes","BLOCKED - RETENTION/HOLD",IF(R96="Yes","REVIEW INTEGRATION DEPENDENCY",IF(L96&lt;&gt;"Yes","OWNER VALIDATION REQUIRED",IF(OR(S96="Critical",S96="High"),"BUSINESS RISK REVIEW REQUIRED",IF(C96="Production","PRODUCTION APPROVAL REQUIRED",IF(I96="ACTIVE","NOT ELIGIBLE - ACTIVE",IF(X96="Still Required","KEEP - OWNER CONFIRMED",IF(X96="Exception Requested","EXCEPTION PENDING","REVIEW FOR CLEANUP"))))))))))</x:f>
      </x:c>
    </x:row>
    <x:row r="97">
      <x:c r="A97" s="23"/>
      <x:c r="B97" s="23"/>
      <x:c r="C97" s="23"/>
      <x:c r="D97" s="23"/>
      <x:c r="E97" s="34"/>
      <x:c r="F97" s="34"/>
      <x:c r="G97" s="32" t="str">
        <x:f ca="1">IF(F97="","",MAX(0,TODAY()-F97))</x:f>
      </x:c>
      <x:c r="H97" s="32" t="str">
        <x:f>IF(C97="","",IFERROR(VLOOKUP(C97,'Organization Settings'!$A$4:$B$9,2,FALSE),""))</x:f>
      </x:c>
      <x:c r="I97" s="23" t="str">
        <x:f ca="1">IF(A97="","",IF(T97="Yes","PROTECTED",IF(V97="Yes","HOLD - DO NOT CLEAN",IF(OR(F97="",H97=""),"INCOMPLETE",IF(G97&gt;=H97,"REVIEW REQUIRED","ACTIVE")))))</x:f>
      </x:c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34"/>
      <x:c r="X97" s="23"/>
      <x:c r="Y97" s="34"/>
      <x:c r="Z97" s="23"/>
      <x:c r="AA97" s="23"/>
      <x:c r="AB97" s="23"/>
      <x:c r="AC97" s="34"/>
      <x:c r="AD97" s="34"/>
      <x:c r="AE97" s="34"/>
      <x:c r="AF97" s="23"/>
      <x:c r="AG97" s="23"/>
      <x:c r="AH97" s="23"/>
      <x:c r="AI97" s="23"/>
      <x:c r="AJ97" s="23" t="str">
        <x:f>IF(A97="","",IF(T97="Yes","BLOCKED - PROTECTED",IF(V97="Yes","BLOCKED - RETENTION/HOLD",IF(R97="Yes","REVIEW INTEGRATION DEPENDENCY",IF(L97&lt;&gt;"Yes","OWNER VALIDATION REQUIRED",IF(OR(S97="Critical",S97="High"),"BUSINESS RISK REVIEW REQUIRED",IF(C97="Production","PRODUCTION APPROVAL REQUIRED",IF(I97="ACTIVE","NOT ELIGIBLE - ACTIVE",IF(X97="Still Required","KEEP - OWNER CONFIRMED",IF(X97="Exception Requested","EXCEPTION PENDING","REVIEW FOR CLEANUP"))))))))))</x:f>
      </x:c>
    </x:row>
    <x:row r="98">
      <x:c r="A98" s="23"/>
      <x:c r="B98" s="23"/>
      <x:c r="C98" s="23"/>
      <x:c r="D98" s="23"/>
      <x:c r="E98" s="34"/>
      <x:c r="F98" s="34"/>
      <x:c r="G98" s="32" t="str">
        <x:f ca="1">IF(F98="","",MAX(0,TODAY()-F98))</x:f>
      </x:c>
      <x:c r="H98" s="32" t="str">
        <x:f>IF(C98="","",IFERROR(VLOOKUP(C98,'Organization Settings'!$A$4:$B$9,2,FALSE),""))</x:f>
      </x:c>
      <x:c r="I98" s="23" t="str">
        <x:f ca="1">IF(A98="","",IF(T98="Yes","PROTECTED",IF(V98="Yes","HOLD - DO NOT CLEAN",IF(OR(F98="",H98=""),"INCOMPLETE",IF(G98&gt;=H98,"REVIEW REQUIRED","ACTIVE")))))</x:f>
      </x:c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34"/>
      <x:c r="X98" s="23"/>
      <x:c r="Y98" s="34"/>
      <x:c r="Z98" s="23"/>
      <x:c r="AA98" s="23"/>
      <x:c r="AB98" s="23"/>
      <x:c r="AC98" s="34"/>
      <x:c r="AD98" s="34"/>
      <x:c r="AE98" s="34"/>
      <x:c r="AF98" s="23"/>
      <x:c r="AG98" s="23"/>
      <x:c r="AH98" s="23"/>
      <x:c r="AI98" s="23"/>
      <x:c r="AJ98" s="23" t="str">
        <x:f>IF(A98="","",IF(T98="Yes","BLOCKED - PROTECTED",IF(V98="Yes","BLOCKED - RETENTION/HOLD",IF(R98="Yes","REVIEW INTEGRATION DEPENDENCY",IF(L98&lt;&gt;"Yes","OWNER VALIDATION REQUIRED",IF(OR(S98="Critical",S98="High"),"BUSINESS RISK REVIEW REQUIRED",IF(C98="Production","PRODUCTION APPROVAL REQUIRED",IF(I98="ACTIVE","NOT ELIGIBLE - ACTIVE",IF(X98="Still Required","KEEP - OWNER CONFIRMED",IF(X98="Exception Requested","EXCEPTION PENDING","REVIEW FOR CLEANUP"))))))))))</x:f>
      </x:c>
    </x:row>
    <x:row r="99">
      <x:c r="A99" s="23"/>
      <x:c r="B99" s="23"/>
      <x:c r="C99" s="23"/>
      <x:c r="D99" s="23"/>
      <x:c r="E99" s="34"/>
      <x:c r="F99" s="34"/>
      <x:c r="G99" s="32" t="str">
        <x:f ca="1">IF(F99="","",MAX(0,TODAY()-F99))</x:f>
      </x:c>
      <x:c r="H99" s="32" t="str">
        <x:f>IF(C99="","",IFERROR(VLOOKUP(C99,'Organization Settings'!$A$4:$B$9,2,FALSE),""))</x:f>
      </x:c>
      <x:c r="I99" s="23" t="str">
        <x:f ca="1">IF(A99="","",IF(T99="Yes","PROTECTED",IF(V99="Yes","HOLD - DO NOT CLEAN",IF(OR(F99="",H99=""),"INCOMPLETE",IF(G99&gt;=H99,"REVIEW REQUIRED","ACTIVE")))))</x:f>
      </x:c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34"/>
      <x:c r="X99" s="23"/>
      <x:c r="Y99" s="34"/>
      <x:c r="Z99" s="23"/>
      <x:c r="AA99" s="23"/>
      <x:c r="AB99" s="23"/>
      <x:c r="AC99" s="34"/>
      <x:c r="AD99" s="34"/>
      <x:c r="AE99" s="34"/>
      <x:c r="AF99" s="23"/>
      <x:c r="AG99" s="23"/>
      <x:c r="AH99" s="23"/>
      <x:c r="AI99" s="23"/>
      <x:c r="AJ99" s="23" t="str">
        <x:f>IF(A99="","",IF(T99="Yes","BLOCKED - PROTECTED",IF(V99="Yes","BLOCKED - RETENTION/HOLD",IF(R99="Yes","REVIEW INTEGRATION DEPENDENCY",IF(L99&lt;&gt;"Yes","OWNER VALIDATION REQUIRED",IF(OR(S99="Critical",S99="High"),"BUSINESS RISK REVIEW REQUIRED",IF(C99="Production","PRODUCTION APPROVAL REQUIRED",IF(I99="ACTIVE","NOT ELIGIBLE - ACTIVE",IF(X99="Still Required","KEEP - OWNER CONFIRMED",IF(X99="Exception Requested","EXCEPTION PENDING","REVIEW FOR CLEANUP"))))))))))</x:f>
      </x:c>
    </x:row>
    <x:row r="100">
      <x:c r="A100" s="23"/>
      <x:c r="B100" s="23"/>
      <x:c r="C100" s="23"/>
      <x:c r="D100" s="23"/>
      <x:c r="E100" s="34"/>
      <x:c r="F100" s="34"/>
      <x:c r="G100" s="32" t="str">
        <x:f ca="1">IF(F100="","",MAX(0,TODAY()-F100))</x:f>
      </x:c>
      <x:c r="H100" s="32" t="str">
        <x:f>IF(C100="","",IFERROR(VLOOKUP(C100,'Organization Settings'!$A$4:$B$9,2,FALSE),""))</x:f>
      </x:c>
      <x:c r="I100" s="23" t="str">
        <x:f ca="1">IF(A100="","",IF(T100="Yes","PROTECTED",IF(V100="Yes","HOLD - DO NOT CLEAN",IF(OR(F100="",H100=""),"INCOMPLETE",IF(G100&gt;=H100,"REVIEW REQUIRED","ACTIVE")))))</x:f>
      </x:c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34"/>
      <x:c r="X100" s="23"/>
      <x:c r="Y100" s="34"/>
      <x:c r="Z100" s="23"/>
      <x:c r="AA100" s="23"/>
      <x:c r="AB100" s="23"/>
      <x:c r="AC100" s="34"/>
      <x:c r="AD100" s="34"/>
      <x:c r="AE100" s="34"/>
      <x:c r="AF100" s="23"/>
      <x:c r="AG100" s="23"/>
      <x:c r="AH100" s="23"/>
      <x:c r="AI100" s="23"/>
      <x:c r="AJ100" s="23" t="str">
        <x:f>IF(A100="","",IF(T100="Yes","BLOCKED - PROTECTED",IF(V100="Yes","BLOCKED - RETENTION/HOLD",IF(R100="Yes","REVIEW INTEGRATION DEPENDENCY",IF(L100&lt;&gt;"Yes","OWNER VALIDATION REQUIRED",IF(OR(S100="Critical",S100="High"),"BUSINESS RISK REVIEW REQUIRED",IF(C100="Production","PRODUCTION APPROVAL REQUIRED",IF(I100="ACTIVE","NOT ELIGIBLE - ACTIVE",IF(X100="Still Required","KEEP - OWNER CONFIRMED",IF(X100="Exception Requested","EXCEPTION PENDING","REVIEW FOR CLEANUP"))))))))))</x:f>
      </x:c>
    </x:row>
    <x:row r="101">
      <x:c r="A101" s="23"/>
      <x:c r="B101" s="23"/>
      <x:c r="C101" s="23"/>
      <x:c r="D101" s="23"/>
      <x:c r="E101" s="34"/>
      <x:c r="F101" s="34"/>
      <x:c r="G101" s="32" t="str">
        <x:f ca="1">IF(F101="","",MAX(0,TODAY()-F101))</x:f>
      </x:c>
      <x:c r="H101" s="32" t="str">
        <x:f>IF(C101="","",IFERROR(VLOOKUP(C101,'Organization Settings'!$A$4:$B$9,2,FALSE),""))</x:f>
      </x:c>
      <x:c r="I101" s="23" t="str">
        <x:f ca="1">IF(A101="","",IF(T101="Yes","PROTECTED",IF(V101="Yes","HOLD - DO NOT CLEAN",IF(OR(F101="",H101=""),"INCOMPLETE",IF(G101&gt;=H101,"REVIEW REQUIRED","ACTIVE")))))</x:f>
      </x:c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34"/>
      <x:c r="X101" s="23"/>
      <x:c r="Y101" s="34"/>
      <x:c r="Z101" s="23"/>
      <x:c r="AA101" s="23"/>
      <x:c r="AB101" s="23"/>
      <x:c r="AC101" s="34"/>
      <x:c r="AD101" s="34"/>
      <x:c r="AE101" s="34"/>
      <x:c r="AF101" s="23"/>
      <x:c r="AG101" s="23"/>
      <x:c r="AH101" s="23"/>
      <x:c r="AI101" s="23"/>
      <x:c r="AJ101" s="23" t="str">
        <x:f>IF(A101="","",IF(T101="Yes","BLOCKED - PROTECTED",IF(V101="Yes","BLOCKED - RETENTION/HOLD",IF(R101="Yes","REVIEW INTEGRATION DEPENDENCY",IF(L101&lt;&gt;"Yes","OWNER VALIDATION REQUIRED",IF(OR(S101="Critical",S101="High"),"BUSINESS RISK REVIEW REQUIRED",IF(C101="Production","PRODUCTION APPROVAL REQUIRED",IF(I101="ACTIVE","NOT ELIGIBLE - ACTIVE",IF(X101="Still Required","KEEP - OWNER CONFIRMED",IF(X101="Exception Requested","EXCEPTION PENDING","REVIEW FOR CLEANUP"))))))))))</x:f>
      </x:c>
    </x:row>
  </x:sheetData>
  <x:conditionalFormatting sqref="Z2:Z101">
    <x:cfRule type="expression" dxfId="3" priority="1">
      <x:formula>Z2="CLEANUP APPROVED"</x:formula>
    </x:cfRule>
    <x:cfRule type="expression" dxfId="2" priority="2">
      <x:formula>Z2="PROTECTED"</x:formula>
    </x:cfRule>
    <x:cfRule type="expression" dxfId="1" priority="3">
      <x:formula>Z2="ELIGIBLE FOR CLEANUP"</x:formula>
    </x:cfRule>
  </x:conditionalFormatting>
  <x:conditionalFormatting sqref="I2:I101">
    <x:cfRule type="expression" dxfId="4" priority="4">
      <x:formula>I2="REVIEW REQUIRED"</x:formula>
    </x:cfRule>
    <x:cfRule type="expression" dxfId="5" priority="5">
      <x:formula>I2="ACTIVE"</x:formula>
    </x:cfRule>
    <x:cfRule type="expression" dxfId="6" priority="6">
      <x:formula>OR(I2="PROTECTED",I2="HOLD - DO NOT CLEAN")</x:formula>
    </x:cfRule>
  </x:conditionalFormatting>
  <x:conditionalFormatting sqref="AJ2:AJ101">
    <x:cfRule type="expression" dxfId="7" priority="7">
      <x:formula>LEFT(AJ2,7)="BLOCKED"</x:formula>
    </x:cfRule>
    <x:cfRule type="expression" dxfId="8" priority="8">
      <x:formula>AJ2="REVIEW FOR CLEANUP"</x:formula>
    </x:cfRule>
    <x:cfRule type="expression" dxfId="9" priority="9">
      <x:formula>OR(AJ2="KEEP - OWNER CONFIRMED",AJ2="NOT ELIGIBLE - ACTIVE")</x:formula>
    </x:cfRule>
  </x:conditionalFormatting>
  <x:dataValidations count="9">
    <x:dataValidation type="list" sqref="C2:C101">
      <x:formula1>Lists!$E$2:$E$7</x:formula1>
    </x:dataValidation>
    <x:dataValidation type="list" sqref="L2:L101">
      <x:formula1>Lists!$D$2:$D$4</x:formula1>
    </x:dataValidation>
    <x:dataValidation type="list" sqref="P2:P101">
      <x:formula1>Lists!$D$2:$D$4</x:formula1>
    </x:dataValidation>
    <x:dataValidation type="list" sqref="R2:R101">
      <x:formula1>Lists!$D$2:$D$4</x:formula1>
    </x:dataValidation>
    <x:dataValidation type="list" sqref="S2:S101">
      <x:formula1>Lists!$C$2:$C$5</x:formula1>
    </x:dataValidation>
    <x:dataValidation type="list" sqref="T2:T101">
      <x:formula1>Lists!$D$2:$D$4</x:formula1>
    </x:dataValidation>
    <x:dataValidation type="list" sqref="V2:V101">
      <x:formula1>Lists!$D$2:$D$4</x:formula1>
    </x:dataValidation>
    <x:dataValidation type="list" sqref="X2:X101">
      <x:formula1>Lists!$B$2:$B$6</x:formula1>
    </x:dataValidation>
    <x:dataValidation type="list" sqref="Z2:Z101">
      <x:formula1>Lists!$A$2:$A$9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ae5e5d7ad246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customWidth="1"/>
    <x:col min="2" max="2" width="18" customWidth="1"/>
    <x:col min="4" max="4" width="32" hidden="0" customWidth="1"/>
    <x:col min="5" max="5" width="18" hidden="0" customWidth="1"/>
  </x:cols>
  <x:sheetData>
    <x:row r="1">
      <x:c r="A1" s="22" t="str">
        <x:v>Environment Cleanup Governance — Executive Summary</x:v>
      </x:c>
      <x:c r="B1" s="22"/>
      <x:c r="C1" s="22"/>
      <x:c r="D1" s="22"/>
      <x:c r="E1" s="22"/>
      <x:c r="F1" s="22"/>
      <x:c r="G1" s="22"/>
      <x:c r="H1" s="22"/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26" t="s">
        <x:v>50</x:v>
      </x:c>
      <x:c r="B3" s="26" t="s">
        <x:v>51</x:v>
      </x:c>
      <x:c r="C3" s="23"/>
      <x:c r="D3" s="18" t="str">
        <x:v>Governance / Risk Check</x:v>
      </x:c>
      <x:c r="E3" s="18" t="str">
        <x:v>Count</x:v>
      </x:c>
      <x:c r="F3" s="23"/>
      <x:c r="G3" s="23"/>
      <x:c r="H3" s="23"/>
    </x:row>
    <x:row r="4">
      <x:c r="A4" s="23" t="s">
        <x:v>52</x:v>
      </x:c>
      <x:c r="B4" s="23" t="n">
        <x:f>COUNTIF('Environment Review'!A2:A101,"&lt;&gt;")</x:f>
        <x:v>0</x:v>
      </x:c>
      <x:c r="C4" s="23"/>
      <x:c r="D4" s="23" t="str">
        <x:v>Protected environments</x:v>
      </x:c>
      <x:c r="E4" s="23" t="n">
        <x:f>COUNTIF('Environment Review'!T2:T101,"Yes")</x:f>
        <x:v>0</x:v>
      </x:c>
      <x:c r="F4" s="23"/>
      <x:c r="G4" s="23"/>
      <x:c r="H4" s="23"/>
    </x:row>
    <x:row r="5">
      <x:c r="A5" s="23" t="s">
        <x:v>53</x:v>
      </x:c>
      <x:c r="B5" s="23" t="n">
        <x:f ca="1">COUNTIF('Environment Review'!I2:I101,"REVIEW REQUIRED")</x:f>
        <x:v>0</x:v>
      </x:c>
      <x:c r="C5" s="23"/>
      <x:c r="D5" s="23" t="str">
        <x:v>Retention / legal hold</x:v>
      </x:c>
      <x:c r="E5" s="23" t="n">
        <x:f>COUNTIF('Environment Review'!V2:V101,"Yes")</x:f>
        <x:v>0</x:v>
      </x:c>
      <x:c r="F5" s="23"/>
      <x:c r="G5" s="23"/>
      <x:c r="H5" s="23"/>
    </x:row>
    <x:row r="6">
      <x:c r="A6" s="23" t="s">
        <x:v>54</x:v>
      </x:c>
      <x:c r="B6" s="23" t="n">
        <x:f>COUNTIF('Environment Review'!Z2:Z101,"OWNER RESPONSE PENDING")</x:f>
        <x:v>0</x:v>
      </x:c>
      <x:c r="C6" s="23"/>
      <x:c r="D6" s="23" t="str">
        <x:v>Integration dependency</x:v>
      </x:c>
      <x:c r="E6" s="23" t="n">
        <x:f>COUNTIF('Environment Review'!R2:R101,"Yes")</x:f>
        <x:v>0</x:v>
      </x:c>
      <x:c r="F6" s="23"/>
      <x:c r="G6" s="23"/>
      <x:c r="H6" s="23"/>
    </x:row>
    <x:row r="7">
      <x:c r="A7" s="23" t="s">
        <x:v>55</x:v>
      </x:c>
      <x:c r="B7" s="23" t="n">
        <x:f>COUNTIF('Environment Review'!Z2:Z101,"EXCEPTION REQUESTED")</x:f>
        <x:v>0</x:v>
      </x:c>
      <x:c r="C7" s="23"/>
      <x:c r="D7" s="23" t="str">
        <x:v>Owner validation required</x:v>
      </x:c>
      <x:c r="E7" s="23" t="n">
        <x:f>COUNTIF('Environment Review'!AJ2:AJ101,"OWNER VALIDATION REQUIRED")</x:f>
        <x:v>0</x:v>
      </x:c>
      <x:c r="F7" s="23"/>
      <x:c r="G7" s="23"/>
      <x:c r="H7" s="23"/>
    </x:row>
    <x:row r="8">
      <x:c r="A8" s="23" t="s">
        <x:v>56</x:v>
      </x:c>
      <x:c r="B8" s="23" t="n">
        <x:f>COUNTIF('Environment Review'!Z2:Z101,"PROTECTED")</x:f>
        <x:v>0</x:v>
      </x:c>
      <x:c r="C8" s="23"/>
      <x:c r="D8" s="23" t="str">
        <x:v>Production approval required</x:v>
      </x:c>
      <x:c r="E8" s="23" t="n">
        <x:f>COUNTIF('Environment Review'!AJ2:AJ101,"PRODUCTION APPROVAL REQUIRED")</x:f>
        <x:v>0</x:v>
      </x:c>
      <x:c r="F8" s="23"/>
      <x:c r="G8" s="23"/>
      <x:c r="H8" s="23"/>
    </x:row>
    <x:row r="9">
      <x:c r="A9" s="23" t="s">
        <x:v>57</x:v>
      </x:c>
      <x:c r="B9" s="23" t="n">
        <x:f>COUNTIF('Environment Review'!Z2:Z101,"ELIGIBLE FOR CLEANUP")</x:f>
        <x:v>0</x:v>
      </x:c>
      <x:c r="C9" s="23"/>
      <x:c r="D9" s="23" t="str">
        <x:v>Business risk review required</x:v>
      </x:c>
      <x:c r="E9" s="23" t="n">
        <x:f>COUNTIF('Environment Review'!AJ2:AJ101,"BUSINESS RISK REVIEW REQUIRED")</x:f>
        <x:v>0</x:v>
      </x:c>
      <x:c r="F9" s="23"/>
      <x:c r="G9" s="23"/>
      <x:c r="H9" s="23"/>
    </x:row>
    <x:row r="10">
      <x:c r="A10" s="23" t="s">
        <x:v>58</x:v>
      </x:c>
      <x:c r="B10" s="23" t="n">
        <x:f>COUNTIF('Environment Review'!Z2:Z101,"CLEANUP APPROVED")</x:f>
        <x:v>0</x:v>
      </x:c>
      <x:c r="C10" s="23"/>
      <x:c r="D10" s="23" t="str">
        <x:v>Review for cleanup</x:v>
      </x:c>
      <x:c r="E10" s="23" t="n">
        <x:f>COUNTIF('Environment Review'!AJ2:AJ101,"REVIEW FOR CLEANUP")</x:f>
        <x:v>0</x:v>
      </x:c>
      <x:c r="F10" s="23"/>
      <x:c r="G10" s="23"/>
      <x:c r="H10" s="23"/>
    </x:row>
    <x:row r="11">
      <x:c r="A11" s="23" t="s">
        <x:v>59</x:v>
      </x:c>
      <x:c r="B11" s="23" t="n">
        <x:f>COUNTIF('Environment Review'!Z2:Z101,"CLOSED")</x:f>
        <x:v>0</x:v>
      </x:c>
      <x:c r="C11" s="23"/>
      <x:c r="D11" s="23"/>
      <x:c r="E11" s="23"/>
      <x:c r="F11" s="23"/>
      <x:c r="G11" s="23"/>
      <x:c r="H11" s="23"/>
    </x:row>
    <x:row r="12">
      <x:c r="A12" s="23"/>
      <x:c r="B12" s="23"/>
      <x:c r="C12" s="23"/>
      <x:c r="D12" s="23"/>
      <x:c r="E12" s="23"/>
      <x:c r="F12" s="23"/>
      <x:c r="G12" s="23"/>
      <x:c r="H12" s="23"/>
    </x:row>
    <x:row r="13">
      <x:c r="A13" s="23"/>
      <x:c r="B13" s="23"/>
      <x:c r="C13" s="23"/>
      <x:c r="D13" s="23"/>
      <x:c r="E13" s="23"/>
      <x:c r="F13" s="23"/>
      <x:c r="G13" s="23"/>
      <x:c r="H13" s="23"/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">
        <x:v>40</x:v>
      </x:c>
      <x:c r="B1" t="s">
        <x:v>38</x:v>
      </x:c>
      <x:c r="C1" t="s">
        <x:v>60</x:v>
      </x:c>
      <x:c r="D1" t="s">
        <x:v>61</x:v>
      </x:c>
      <x:c r="E1" t="s">
        <x:v>17</x:v>
      </x:c>
    </x:row>
    <x:row r="2">
      <x:c r="A2" t="s">
        <x:v>62</x:v>
      </x:c>
      <x:c r="B2" t="s">
        <x:v>63</x:v>
      </x:c>
      <x:c r="C2" t="s">
        <x:v>64</x:v>
      </x:c>
      <x:c r="D2" t="s">
        <x:v>65</x:v>
      </x:c>
      <x:c r="E2" t="s">
        <x:v>66</x:v>
      </x:c>
    </x:row>
    <x:row r="3">
      <x:c r="A3" t="s">
        <x:v>67</x:v>
      </x:c>
      <x:c r="B3" t="s">
        <x:v>68</x:v>
      </x:c>
      <x:c r="C3" t="s">
        <x:v>69</x:v>
      </x:c>
      <x:c r="D3" t="s">
        <x:v>70</x:v>
      </x:c>
      <x:c r="E3" t="s">
        <x:v>71</x:v>
      </x:c>
    </x:row>
    <x:row r="4">
      <x:c r="A4" t="s">
        <x:v>72</x:v>
      </x:c>
      <x:c r="B4" t="s">
        <x:v>73</x:v>
      </x:c>
      <x:c r="C4" t="s">
        <x:v>74</x:v>
      </x:c>
      <x:c r="D4" t="s">
        <x:v>75</x:v>
      </x:c>
      <x:c r="E4" t="s">
        <x:v>76</x:v>
      </x:c>
    </x:row>
    <x:row r="5">
      <x:c r="A5" t="s">
        <x:v>77</x:v>
      </x:c>
      <x:c r="B5" t="s">
        <x:v>78</x:v>
      </x:c>
      <x:c r="C5" t="s">
        <x:v>79</x:v>
      </x:c>
      <x:c r="E5" t="s">
        <x:v>80</x:v>
      </x:c>
    </x:row>
    <x:row r="6">
      <x:c r="A6" t="s">
        <x:v>81</x:v>
      </x:c>
      <x:c r="B6" t="s">
        <x:v>82</x:v>
      </x:c>
      <x:c r="E6" t="s">
        <x:v>83</x:v>
      </x:c>
    </x:row>
    <x:row r="7">
      <x:c r="A7" t="s">
        <x:v>84</x:v>
      </x:c>
      <x:c r="E7" t="s">
        <x:v>85</x:v>
      </x:c>
    </x:row>
    <x:row r="8">
      <x:c r="A8" t="s">
        <x:v>86</x:v>
      </x:c>
    </x:row>
    <x:row r="9">
      <x:c r="A9" t="s">
        <x:v>87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4" max="4" width="24" hidden="0" customWidth="1"/>
    <x:col min="5" max="5" width="65" hidden="0" customWidth="1"/>
  </x:cols>
  <x:sheetData>
    <x:row r="1">
      <x:c r="A1" s="22" t="str">
        <x:v>Organization Settings</x:v>
      </x:c>
      <x:c r="B1" s="22"/>
      <x:c r="C1" s="22"/>
      <x:c r="D1" s="22"/>
      <x:c r="E1" s="23"/>
    </x:row>
    <x:row r="2">
      <x:c r="A2" s="23"/>
      <x:c r="B2" s="23"/>
      <x:c r="C2" s="23"/>
      <x:c r="D2" s="23"/>
      <x:c r="E2" s="23"/>
    </x:row>
    <x:row r="3">
      <x:c r="A3" s="18" t="str">
        <x:v>Environment Type</x:v>
      </x:c>
      <x:c r="B3" s="18" t="str">
        <x:v>Default Review Threshold (Days)</x:v>
      </x:c>
      <x:c r="C3" s="23"/>
      <x:c r="D3" s="18" t="str">
        <x:v>Setting</x:v>
      </x:c>
      <x:c r="E3" s="18" t="str">
        <x:v>Guidance</x:v>
      </x:c>
    </x:row>
    <x:row r="4">
      <x:c r="A4" s="23" t="str">
        <x:v>Developer</x:v>
      </x:c>
      <x:c r="B4" s="23" t="n">
        <x:v>60</x:v>
      </x:c>
      <x:c r="C4" s="23"/>
      <x:c r="D4" s="23" t="str">
        <x:v>Review thresholds</x:v>
      </x:c>
      <x:c r="E4" s="23" t="str">
        <x:v>Examples only. Adjust to your organization's governance policy.</x:v>
      </x:c>
    </x:row>
    <x:row r="5">
      <x:c r="A5" s="23" t="str">
        <x:v>Sandbox</x:v>
      </x:c>
      <x:c r="B5" s="23" t="n">
        <x:v>90</x:v>
      </x:c>
      <x:c r="C5" s="23"/>
      <x:c r="D5" s="23" t="str">
        <x:v>Production</x:v>
      </x:c>
      <x:c r="E5" s="23" t="str">
        <x:v>Inactivity can trigger review, but must never by itself authorize cleanup.</x:v>
      </x:c>
    </x:row>
    <x:row r="6">
      <x:c r="A6" s="23" t="str">
        <x:v>Production</x:v>
      </x:c>
      <x:c r="B6" s="23" t="n">
        <x:v>180</x:v>
      </x:c>
      <x:c r="C6" s="23"/>
      <x:c r="D6" s="23" t="str">
        <x:v>Protected environments</x:v>
      </x:c>
      <x:c r="E6" s="23" t="str">
        <x:v>Protected environments require explicit governance review before any cleanup action.</x:v>
      </x:c>
    </x:row>
    <x:row r="7">
      <x:c r="A7" s="23" t="str">
        <x:v>Trial</x:v>
      </x:c>
      <x:c r="B7" s="23" t="n">
        <x:v>30</x:v>
      </x:c>
      <x:c r="C7" s="23"/>
      <x:c r="D7" s="23" t="str">
        <x:v>Retention / Legal Hold</x:v>
      </x:c>
      <x:c r="E7" s="23" t="str">
        <x:v>A Yes value blocks cleanup until the applicable requirement is cleared.</x:v>
      </x:c>
    </x:row>
    <x:row r="8">
      <x:c r="A8" s="23" t="str">
        <x:v>Teams</x:v>
      </x:c>
      <x:c r="B8" s="23" t="n">
        <x:v>60</x:v>
      </x:c>
      <x:c r="C8" s="23"/>
      <x:c r="D8" s="23" t="str">
        <x:v>Owner validation</x:v>
      </x:c>
      <x:c r="E8" s="23" t="str">
        <x:v>A valid accountable owner should be confirmed before cleanup approval.</x:v>
      </x:c>
    </x:row>
    <x:row r="9">
      <x:c r="A9" s="23" t="str">
        <x:v>Other</x:v>
      </x:c>
      <x:c r="B9" s="23" t="n">
        <x:v>90</x:v>
      </x:c>
      <x:c r="C9" s="23"/>
      <x:c r="D9" s="23" t="str">
        <x:v>Dependencies</x:v>
      </x:c>
      <x:c r="E9" s="23" t="str">
        <x:v>Integrations, connectors, flows, agents, Dataverse, and downstream dependencies should be reviewed before cleanup.</x:v>
      </x:c>
    </x:row>
    <x:row r="10">
      <x:c r="A10" s="23"/>
      <x:c r="B10" s="23"/>
      <x:c r="C10" s="23"/>
      <x:c r="D10" s="23"/>
      <x:c r="E10" s="23"/>
    </x:row>
    <x:row r="11">
      <x:c r="A11" s="23"/>
      <x:c r="B11" s="23"/>
      <x:c r="C11" s="23"/>
      <x:c r="D11" s="23"/>
      <x:c r="E11" s="23"/>
    </x:row>
    <x:row r="12">
      <x:c r="A12" s="23"/>
      <x:c r="B12" s="23"/>
      <x:c r="C12" s="23"/>
      <x:c r="D12" s="23"/>
      <x:c r="E12" s="23"/>
    </x:row>
  </x:sheetData>
  <x:mergeCells>
    <x:mergeCell ref="A1:D1"/>
  </x:mergeCells>
  <x:pageMargins left="0.7" right="0.7" top="0.75" bottom="0.75" header="0.3" footer="0.3"/>
</x:worksheet>
</file>